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הוראות" sheetId="1" state="visible" r:id="rId3"/>
    <sheet name="שאלון" sheetId="2" state="visible" r:id="rId4"/>
    <sheet name="חישוב" sheetId="3" state="hidden" r:id="rId5"/>
    <sheet name="תוצאות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<sst xmlns="http://schemas.openxmlformats.org/spreadsheetml/2006/main" count="99" uniqueCount="86">
  <si>
    <t xml:space="preserve">שאלון מיפוי עצמי: מיינדסט עני מול מיינדסט עשיר</t>
  </si>
  <si>
    <t xml:space="preserve">"The other side of the coin"</t>
  </si>
  <si>
    <t xml:space="preserve">איך ממלאים?</t>
  </si>
  <si>
    <t xml:space="preserve">בלשונית "שאלון", כל שורה מציגה שני ניסוחים מנוגדים: מימין ניסוח של מיינדסט עני, משמאל ניסוח של מיינדסט עשיר.</t>
  </si>
  <si>
    <t xml:space="preserve">ביניהם יש סקאלה של חמש משבצות. סמנו משבצת אחת (בחרו ✗ מהרשימה הנפתחת) לפי המיקום שמתאר אתכם:</t>
  </si>
  <si>
    <t xml:space="preserve">המשבצת הימנית = מתחבר/ת לחלוטין לניסוח העני · האמצעית = שילוב · השמאלית = מתחבר/ת לחלוטין לניסוח העשיר.</t>
  </si>
  <si>
    <t xml:space="preserve">אין מספרים על הסקאלה בכוונה – פשוט סמנו לאן אתם נוטים. שני הצדדים מוצגים שווה, אין תשובה "נכונה".</t>
  </si>
  <si>
    <t xml:space="preserve">איפה רואים את התוצאה?</t>
  </si>
  <si>
    <t xml:space="preserve">בלשונית "תוצאות" יחושבו אוטומטית ממוצע לכל קטגוריה, ציון כולל, ושני גרפים. בלשונית השאלון עצמה אין ציונים – רק הסימון.</t>
  </si>
  <si>
    <t xml:space="preserve">1.0–2.0  →  מיינדסט עני דומיננטי   |   2.1–3.0  →  נטייה לעני   |   3.1–4.0  →  נטייה לעשיר   |   4.1–5.0  →  עשיר דומיננטי</t>
  </si>
  <si>
    <t xml:space="preserve">טיפ: התמקדו בקטגוריות עם הציון הנמוך ביותר – שם הפוטנציאל הגדול ביותר לצמיחה.</t>
  </si>
  <si>
    <t xml:space="preserve">שאלון מיפוי עצמי – מיינדסט עני מול מיינדסט עשיר</t>
  </si>
  <si>
    <t xml:space="preserve">סמנו ✗ במשבצת אחת בכל שורה. ימין = מתחבר/ת לעני  ·  אמצע = שילוב  ·  שמאל = מתחבר/ת לעשיר</t>
  </si>
  <si>
    <t xml:space="preserve">מיינדסט עני</t>
  </si>
  <si>
    <t xml:space="preserve">עני
מאוד</t>
  </si>
  <si>
    <t xml:space="preserve">עני</t>
  </si>
  <si>
    <t xml:space="preserve">באמצע</t>
  </si>
  <si>
    <t xml:space="preserve">עשיר</t>
  </si>
  <si>
    <t xml:space="preserve">עשיר
מאוד</t>
  </si>
  <si>
    <t xml:space="preserve">מיינדסט עשיר</t>
  </si>
  <si>
    <t xml:space="preserve">1. תפיסה עצמית ומקור הפרנסה</t>
  </si>
  <si>
    <t xml:space="preserve">"אני איש/אשת מקצוע" – הכסף שלי מגיע מהמקצוע שלי.</t>
  </si>
  <si>
    <t xml:space="preserve">"אני בעל/ת עסק" – הכסף שלי מגיע מהעסק ומהנכסים שלי.</t>
  </si>
  <si>
    <t xml:space="preserve">חשוב לי ללמוד איך כותבים קורות חיים ומתכוננים לראיון עבודה.</t>
  </si>
  <si>
    <t xml:space="preserve">חשוב לי ללמוד איך כותבים תוכנית עסקית, מגייסים משקיעים ורוכשים חברות.</t>
  </si>
  <si>
    <t xml:space="preserve">השאיפה שלי היא להתקדם בסולם הדרגות.</t>
  </si>
  <si>
    <t xml:space="preserve">השאיפה שלי היא לשלוט בסולם / לבנות משהו משלי.</t>
  </si>
  <si>
    <t xml:space="preserve">2. השכלה והשקעה עצמית</t>
  </si>
  <si>
    <t xml:space="preserve">משקיע/ה בהשכלה המקצועית שלי, אבל פחות בעצמי ובידע על כסף.</t>
  </si>
  <si>
    <t xml:space="preserve">משקיע/ה בעצמי, בחינוך הפיננסי ובמיומנויות של כסף וניהול.</t>
  </si>
  <si>
    <t xml:space="preserve">3. זמן מול כסף</t>
  </si>
  <si>
    <t xml:space="preserve">"הזמן שלי שווה כסף" – אני מחליף/ה זמן בכסף (מוכר/ת שעות).</t>
  </si>
  <si>
    <t xml:space="preserve">"הזמן שלי יקר מכסף" – אני מחליף/ה זמן ביצירת נכסים והכנסה פאסיבית.</t>
  </si>
  <si>
    <t xml:space="preserve">4. צמיחה ולמידה</t>
  </si>
  <si>
    <t xml:space="preserve">בתחומים שאני מכיר/ה אני כבר יודע/ת מספיק, אין הרבה מה ללמוד.</t>
  </si>
  <si>
    <t xml:space="preserve">תמיד יש לי מה ללמוד – "His cup is never full".</t>
  </si>
  <si>
    <t xml:space="preserve">כשמשהו לא מצליח, כנראה שזה פשוט לא בשבילי.</t>
  </si>
  <si>
    <t xml:space="preserve">כשמשהו לא מצליח, אני בודק/ת מה לשנות בעצמי.</t>
  </si>
  <si>
    <t xml:space="preserve">5. תודעת שפע מול מחסור</t>
  </si>
  <si>
    <t xml:space="preserve">כמות הכסף בעולם מוגבלת – אם אחד מרוויח, אחר מפסיד.</t>
  </si>
  <si>
    <t xml:space="preserve">יש שפע והזדמנויות לכולם – הכסף גדל ככל שיש יותר שחקנים.</t>
  </si>
  <si>
    <t xml:space="preserve">"אני לא יכול/ה להרשות לעצמי את זה".</t>
  </si>
  <si>
    <t xml:space="preserve">"איך אוכל להרשות לעצמי את זה?".</t>
  </si>
  <si>
    <t xml:space="preserve">כשמגיעה הזדמנות אני חשדן/ית ונרתע/ת.</t>
  </si>
  <si>
    <t xml:space="preserve">כשמגיעה הזדמנות אני פועל/ת ומנצל/ת אותה.</t>
  </si>
  <si>
    <t xml:space="preserve">6. תפקיד הכסף – שמירה מול יצירה</t>
  </si>
  <si>
    <t xml:space="preserve">כסף נועד בעיקר להישמר ולהיחסך.</t>
  </si>
  <si>
    <t xml:space="preserve">כסף נועד לזרום, להיות מושקע ולבנות.</t>
  </si>
  <si>
    <t xml:space="preserve">7. אסטרטגיה: הגנה מול התקפה</t>
  </si>
  <si>
    <t xml:space="preserve">משחק/ת "הגנה" – לא רוצה להפסיד, נמנע/ת מסיכונים, משחק/ת בטוח.</t>
  </si>
  <si>
    <t xml:space="preserve">משחק/ת "התקפה" – רוצה לנצח, לוקח/ת סיכונים מחושבים.</t>
  </si>
  <si>
    <t xml:space="preserve">פועל/ת לפי מה שכולם עושים ומתייעץ/ת עם הסביבה.</t>
  </si>
  <si>
    <t xml:space="preserve">פועל/ת מתוך ידע ולמידה עצמאית (בד"כ הפוך מהרוב).</t>
  </si>
  <si>
    <t xml:space="preserve">8. אחריות ושליטה</t>
  </si>
  <si>
    <t xml:space="preserve">ההצלחה הכלכלית שלי תלויה בגורמים שאין לי שליטה עליהם.</t>
  </si>
  <si>
    <t xml:space="preserve">ההצלחה הכלכלית שלי תלויה בעיקר בי.</t>
  </si>
  <si>
    <t xml:space="preserve">כשמשהו משתבש אני מחפש/ת את הסיבה החיצונית / האשם.</t>
  </si>
  <si>
    <t xml:space="preserve">כשמשהו משתבש אני לוקח/ת אחריות ומחפש/ת מה לשנות.</t>
  </si>
  <si>
    <t xml:space="preserve">9. תגמול לפי ערך</t>
  </si>
  <si>
    <t xml:space="preserve">מעדיף/ה שכר קבוע לפי זמן ושעות.</t>
  </si>
  <si>
    <t xml:space="preserve">מעדיף/ה תגמול לפי הערך והתוצאות שאני מביא/ה.</t>
  </si>
  <si>
    <t xml:space="preserve">10. ערך עצמי וביטחון</t>
  </si>
  <si>
    <t xml:space="preserve">לא תמיד בטוח/ה ביכולות שלי ובתוצאות שאוכל להשיג.</t>
  </si>
  <si>
    <t xml:space="preserve">בטוח/ה ביכולות שלי ובתוצאות שאני מסוגל/ת להשיג.</t>
  </si>
  <si>
    <t xml:space="preserve">הביטחון שלי נשען על המקצוע / התואר שלי.</t>
  </si>
  <si>
    <t xml:space="preserve">הביטחון שלי נשען על היכולות שלי.</t>
  </si>
  <si>
    <t xml:space="preserve">11. מיקוד ביעד מול פחד מכישלון</t>
  </si>
  <si>
    <t xml:space="preserve">פחד מכישלון עוצר אותי – אפעל רק כשהכול מושלם.</t>
  </si>
  <si>
    <t xml:space="preserve">מתמקד/ת ביעד, יוצא/ת לדרך גם כשלא הכול מושלם.</t>
  </si>
  <si>
    <t xml:space="preserve">ניתוח יתר נוטה לשתק אותי (analysis paralysis).</t>
  </si>
  <si>
    <t xml:space="preserve">הניתוח עוזר לי לבחור, להבין סיכונים ולפעול.</t>
  </si>
  <si>
    <t xml:space="preserve">12. חשיבה בגדול (כמויות)</t>
  </si>
  <si>
    <t xml:space="preserve">חושב/ת ועובד/ת בקטן, בעיקר "אחד על אחד".</t>
  </si>
  <si>
    <t xml:space="preserve">חושב/ת בגדול, מחפש/ת להגדיל את הכמות וההשפעה.</t>
  </si>
  <si>
    <t xml:space="preserve">13. סביבה ורגשות כלפי עשירים</t>
  </si>
  <si>
    <t xml:space="preserve">כלפי אנשים עשירים אני נוטה להרגיש כעס / קנאה / ביקורת.</t>
  </si>
  <si>
    <t xml:space="preserve">כלפי אנשים עשירים אני מרגיש/ה הערצה והשראה.</t>
  </si>
  <si>
    <t xml:space="preserve">נוח לי בסביבה של אנשים עם מיינדסט דומה לשלי.</t>
  </si>
  <si>
    <t xml:space="preserve">שואף/ת להקיף את עצמי באנשים שהגיעו לאן שאני רוצה.</t>
  </si>
  <si>
    <t xml:space="preserve">שורת שאלון</t>
  </si>
  <si>
    <r>
      <rPr>
        <sz val="11"/>
        <color theme="1"/>
        <rFont val="DejaVu Sans"/>
        <family val="2"/>
        <charset val="1"/>
      </rPr>
      <t xml:space="preserve">ציון </t>
    </r>
    <r>
      <rPr>
        <sz val="11"/>
        <color theme="1"/>
        <rFont val="Calibri"/>
        <family val="2"/>
        <charset val="1"/>
      </rPr>
      <t xml:space="preserve">(1-5)</t>
    </r>
  </si>
  <si>
    <t xml:space="preserve">סיכום תוצאות לפי קטגוריה</t>
  </si>
  <si>
    <t xml:space="preserve">קטגוריה</t>
  </si>
  <si>
    <t xml:space="preserve">ממוצע</t>
  </si>
  <si>
    <t xml:space="preserve">פירוש</t>
  </si>
  <si>
    <t xml:space="preserve">ציון כולל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</si>
</sst>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2"/>
      <color rgb="FF2E5496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8"/>
      <color rgb="FF595959"/>
      <name val="Arial"/>
      <family val="0"/>
      <charset val="1"/>
    </font>
    <font>
      <b val="true"/>
      <sz val="12"/>
      <color rgb="FF2E549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595959"/>
      <name val="Arial"/>
      <family val="0"/>
      <charset val="1"/>
    </font>
    <font>
      <sz val="11"/>
      <color theme="1"/>
      <name val="DejaVu Sans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CCCC"/>
        <bgColor rgb="FFFBE0E0"/>
      </patternFill>
    </fill>
    <fill>
      <patternFill patternType="solid">
        <fgColor rgb="FFFBE0E0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E4EAF6"/>
        <bgColor rgb="FFEDEDED"/>
      </patternFill>
    </fill>
    <fill>
      <patternFill patternType="solid">
        <fgColor rgb="FFD9E1F2"/>
        <bgColor rgb="FFE4EAF6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BA7B5"/>
      </left>
      <right style="thin">
        <color rgb="FF9BA7B5"/>
      </right>
      <top style="thin">
        <color rgb="FF9BA7B5"/>
      </top>
      <bottom style="thin">
        <color rgb="FF9BA7B5"/>
      </bottom>
      <diagonal/>
    </border>
    <border diagonalUp="false" diagonalDown="false"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2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7F7F7F"/>
      <rgbColor rgb="FF9BA7B5"/>
      <rgbColor rgb="FF993366"/>
      <rgbColor rgb="FFFFF2CC"/>
      <rgbColor rgb="FFE4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BE0E0"/>
      <rgbColor rgb="FF99CCFF"/>
      <rgbColor rgb="FFFF99CC"/>
      <rgbColor rgb="FFCC99FF"/>
      <rgbColor rgb="FFF4CCCC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פרופיל מיינדסט לפי קטגוריה (1=עני · 5=עשיר)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תוצאות!B2</c:f>
              <c:strCache>
                <c:ptCount val="1"/>
                <c:pt idx="0">
                  <c:v>ממוצע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תוצאות!$A$3:$A$15</c:f>
              <c:strCache>
                <c:ptCount val="13"/>
                <c:pt idx="0">
                  <c:v>1. תפיסה עצמית ומקור הפרנסה</c:v>
                </c:pt>
                <c:pt idx="1">
                  <c:v>2. השכלה והשקעה עצמית</c:v>
                </c:pt>
                <c:pt idx="2">
                  <c:v>3. זמן מול כסף</c:v>
                </c:pt>
                <c:pt idx="3">
                  <c:v>4. צמיחה ולמידה</c:v>
                </c:pt>
                <c:pt idx="4">
                  <c:v>5. תודעת שפע מול מחסור</c:v>
                </c:pt>
                <c:pt idx="5">
                  <c:v>6. תפקיד הכסף – שמירה מול יצירה</c:v>
                </c:pt>
                <c:pt idx="6">
                  <c:v>7. אסטרטגיה: הגנה מול התקפה</c:v>
                </c:pt>
                <c:pt idx="7">
                  <c:v>8. אחריות ושליטה</c:v>
                </c:pt>
                <c:pt idx="8">
                  <c:v>9. תגמול לפי ערך</c:v>
                </c:pt>
                <c:pt idx="9">
                  <c:v>10. ערך עצמי וביטחון</c:v>
                </c:pt>
                <c:pt idx="10">
                  <c:v>11. מיקוד ביעד מול פחד מכישלון</c:v>
                </c:pt>
                <c:pt idx="11">
                  <c:v>12. חשיבה בגדול (כמויות)</c:v>
                </c:pt>
                <c:pt idx="12">
                  <c:v>13. סביבה ורגשות כלפי עשירים</c:v>
                </c:pt>
              </c:strCache>
            </c:strRef>
          </c:cat>
          <c:val>
            <c:numRef>
              <c:f>תוצאות!$B$3:$B$15</c:f>
              <c:numCache>
                <c:formatCode>General</c:formatCode>
                <c:ptCount val="13"/>
              </c:numCache>
            </c:numRef>
          </c:val>
        </c:ser>
        <c:gapWidth val="150"/>
        <c:overlap val="0"/>
        <c:axId val="7087246"/>
        <c:axId val="48878948"/>
      </c:barChart>
      <c:catAx>
        <c:axId val="70872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878948"/>
        <c:crosses val="autoZero"/>
        <c:auto val="1"/>
        <c:lblAlgn val="ctr"/>
        <c:lblOffset val="100"/>
        <c:noMultiLvlLbl val="0"/>
      </c:catAx>
      <c:valAx>
        <c:axId val="48878948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872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מכ"ם מיינדסט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תוצאות!B2</c:f>
              <c:strCache>
                <c:ptCount val="1"/>
                <c:pt idx="0">
                  <c:v>ממוצע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תוצאות!$A$3:$A$15</c:f>
              <c:strCache>
                <c:ptCount val="13"/>
                <c:pt idx="0">
                  <c:v>1. תפיסה עצמית ומקור הפרנסה</c:v>
                </c:pt>
                <c:pt idx="1">
                  <c:v>2. השכלה והשקעה עצמית</c:v>
                </c:pt>
                <c:pt idx="2">
                  <c:v>3. זמן מול כסף</c:v>
                </c:pt>
                <c:pt idx="3">
                  <c:v>4. צמיחה ולמידה</c:v>
                </c:pt>
                <c:pt idx="4">
                  <c:v>5. תודעת שפע מול מחסור</c:v>
                </c:pt>
                <c:pt idx="5">
                  <c:v>6. תפקיד הכסף – שמירה מול יצירה</c:v>
                </c:pt>
                <c:pt idx="6">
                  <c:v>7. אסטרטגיה: הגנה מול התקפה</c:v>
                </c:pt>
                <c:pt idx="7">
                  <c:v>8. אחריות ושליטה</c:v>
                </c:pt>
                <c:pt idx="8">
                  <c:v>9. תגמול לפי ערך</c:v>
                </c:pt>
                <c:pt idx="9">
                  <c:v>10. ערך עצמי וביטחון</c:v>
                </c:pt>
                <c:pt idx="10">
                  <c:v>11. מיקוד ביעד מול פחד מכישלון</c:v>
                </c:pt>
                <c:pt idx="11">
                  <c:v>12. חשיבה בגדול (כמויות)</c:v>
                </c:pt>
                <c:pt idx="12">
                  <c:v>13. סביבה ורגשות כלפי עשירים</c:v>
                </c:pt>
              </c:strCache>
            </c:strRef>
          </c:cat>
          <c:val>
            <c:numRef>
              <c:f>תוצאות!$B$3:$B$15</c:f>
              <c:numCache>
                <c:formatCode>General</c:formatCode>
                <c:ptCount val="13"/>
              </c:numCache>
            </c:numRef>
          </c:val>
        </c:ser>
        <c:axId val="2184340"/>
        <c:axId val="36282440"/>
      </c:radarChart>
      <c:catAx>
        <c:axId val="21843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282440"/>
        <c:crosses val="autoZero"/>
        <c:auto val="1"/>
        <c:lblAlgn val="ctr"/>
        <c:lblOffset val="100"/>
        <c:noMultiLvlLbl val="0"/>
      </c:catAx>
      <c:valAx>
        <c:axId val="36282440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8434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-611280</xdr:colOff>
      <xdr:row>1</xdr:row>
      <xdr:rowOff>0</xdr:rowOff>
    </xdr:from>
    <xdr:to>
      <xdr:col>17</xdr:col>
      <xdr:colOff>-533160</xdr:colOff>
      <xdr:row>20</xdr:row>
      <xdr:rowOff>90360</xdr:rowOff>
    </xdr:to>
    <xdr:graphicFrame>
      <xdr:nvGraphicFramePr>
        <xdr:cNvPr id="1" name="Chart 1"/>
        <xdr:cNvGraphicFramePr/>
      </xdr:nvGraphicFramePr>
      <xdr:xfrm>
        <a:off x="-14529240" y="304920"/>
        <a:ext cx="863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-611280</xdr:colOff>
      <xdr:row>25</xdr:row>
      <xdr:rowOff>0</xdr:rowOff>
    </xdr:from>
    <xdr:to>
      <xdr:col>11</xdr:col>
      <xdr:colOff>-464040</xdr:colOff>
      <xdr:row>47</xdr:row>
      <xdr:rowOff>128160</xdr:rowOff>
    </xdr:to>
    <xdr:graphicFrame>
      <xdr:nvGraphicFramePr>
        <xdr:cNvPr id="2" name="Chart 2"/>
        <xdr:cNvGraphicFramePr/>
      </xdr:nvGraphicFramePr>
      <xdr:xfrm>
        <a:off x="-10860120" y="5486400"/>
        <a:ext cx="503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8"/>
  </cols>
  <sheetData>
    <row r="2" customFormat="false" ht="22.0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6.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5" t="s">
        <v>4</v>
      </c>
    </row>
    <row r="8" customFormat="false" ht="26.85" hidden="false" customHeight="false" outlineLevel="0" collapsed="false">
      <c r="B8" s="6" t="s">
        <v>5</v>
      </c>
    </row>
    <row r="9" customFormat="false" ht="15" hidden="false" customHeight="false" outlineLevel="0" collapsed="false">
      <c r="B9" s="5" t="s">
        <v>6</v>
      </c>
    </row>
    <row r="11" customFormat="false" ht="16.15" hidden="false" customHeight="false" outlineLevel="0" collapsed="false">
      <c r="B11" s="4" t="s">
        <v>7</v>
      </c>
    </row>
    <row r="12" customFormat="false" ht="26.85" hidden="false" customHeight="false" outlineLevel="0" collapsed="false">
      <c r="B12" s="5" t="s">
        <v>8</v>
      </c>
    </row>
    <row r="13" customFormat="false" ht="15" hidden="false" customHeight="false" outlineLevel="0" collapsed="false">
      <c r="B13" s="5" t="s">
        <v>9</v>
      </c>
    </row>
    <row r="15" customFormat="false" ht="15" hidden="false" customHeight="false" outlineLevel="0" collapsed="false">
      <c r="B15" s="7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6" min="2" style="1" width="6"/>
    <col collapsed="false" customWidth="true" hidden="false" outlineLevel="0" max="7" min="7" style="1" width="50"/>
  </cols>
  <sheetData>
    <row r="1" customFormat="false" ht="25.5" hidden="false" customHeight="true" outlineLevel="0" collapsed="false">
      <c r="A1" s="8" t="s">
        <v>11</v>
      </c>
      <c r="B1" s="8"/>
      <c r="C1" s="8"/>
      <c r="D1" s="8"/>
      <c r="E1" s="8"/>
      <c r="F1" s="8"/>
      <c r="G1" s="8"/>
    </row>
    <row r="2" customFormat="false" ht="19.5" hidden="false" customHeight="true" outlineLevel="0" collapsed="false">
      <c r="A2" s="9" t="s">
        <v>12</v>
      </c>
      <c r="B2" s="9"/>
      <c r="C2" s="9"/>
      <c r="D2" s="9"/>
      <c r="E2" s="9"/>
      <c r="F2" s="9"/>
      <c r="G2" s="9"/>
    </row>
    <row r="3" customFormat="false" ht="27.75" hidden="false" customHeight="true" outlineLevel="0" collapsed="false">
      <c r="A3" s="10" t="s">
        <v>13</v>
      </c>
      <c r="B3" s="11" t="s">
        <v>14</v>
      </c>
      <c r="C3" s="12" t="s">
        <v>15</v>
      </c>
      <c r="D3" s="13" t="s">
        <v>16</v>
      </c>
      <c r="E3" s="14" t="s">
        <v>17</v>
      </c>
      <c r="F3" s="15" t="s">
        <v>18</v>
      </c>
      <c r="G3" s="16" t="s">
        <v>19</v>
      </c>
    </row>
    <row r="4" customFormat="false" ht="19.5" hidden="false" customHeight="true" outlineLevel="0" collapsed="false">
      <c r="A4" s="17" t="s">
        <v>20</v>
      </c>
      <c r="B4" s="17"/>
      <c r="C4" s="17"/>
      <c r="D4" s="17"/>
      <c r="E4" s="17"/>
      <c r="F4" s="17"/>
      <c r="G4" s="17"/>
    </row>
    <row r="5" customFormat="false" ht="43.5" hidden="false" customHeight="true" outlineLevel="0" collapsed="false">
      <c r="A5" s="18" t="s">
        <v>21</v>
      </c>
      <c r="B5" s="19"/>
      <c r="C5" s="20"/>
      <c r="D5" s="21"/>
      <c r="E5" s="22"/>
      <c r="F5" s="23"/>
      <c r="G5" s="18" t="s">
        <v>22</v>
      </c>
    </row>
    <row r="6" customFormat="false" ht="43.5" hidden="false" customHeight="true" outlineLevel="0" collapsed="false">
      <c r="A6" s="18" t="s">
        <v>23</v>
      </c>
      <c r="B6" s="19"/>
      <c r="C6" s="20"/>
      <c r="D6" s="21"/>
      <c r="E6" s="22"/>
      <c r="F6" s="23"/>
      <c r="G6" s="18" t="s">
        <v>24</v>
      </c>
    </row>
    <row r="7" customFormat="false" ht="43.5" hidden="false" customHeight="true" outlineLevel="0" collapsed="false">
      <c r="A7" s="18" t="s">
        <v>25</v>
      </c>
      <c r="B7" s="19"/>
      <c r="C7" s="20"/>
      <c r="D7" s="21"/>
      <c r="E7" s="22"/>
      <c r="F7" s="23"/>
      <c r="G7" s="18" t="s">
        <v>26</v>
      </c>
    </row>
    <row r="8" customFormat="false" ht="19.5" hidden="false" customHeight="true" outlineLevel="0" collapsed="false">
      <c r="A8" s="17" t="s">
        <v>27</v>
      </c>
      <c r="B8" s="17"/>
      <c r="C8" s="17"/>
      <c r="D8" s="17"/>
      <c r="E8" s="17"/>
      <c r="F8" s="17"/>
      <c r="G8" s="17"/>
    </row>
    <row r="9" customFormat="false" ht="43.5" hidden="false" customHeight="true" outlineLevel="0" collapsed="false">
      <c r="A9" s="18" t="s">
        <v>28</v>
      </c>
      <c r="B9" s="19"/>
      <c r="C9" s="20"/>
      <c r="D9" s="21"/>
      <c r="E9" s="22"/>
      <c r="F9" s="23"/>
      <c r="G9" s="18" t="s">
        <v>29</v>
      </c>
    </row>
    <row r="10" customFormat="false" ht="19.5" hidden="false" customHeight="true" outlineLevel="0" collapsed="false">
      <c r="A10" s="17" t="s">
        <v>30</v>
      </c>
      <c r="B10" s="17"/>
      <c r="C10" s="17"/>
      <c r="D10" s="17"/>
      <c r="E10" s="17"/>
      <c r="F10" s="17"/>
      <c r="G10" s="17"/>
    </row>
    <row r="11" customFormat="false" ht="43.5" hidden="false" customHeight="true" outlineLevel="0" collapsed="false">
      <c r="A11" s="18" t="s">
        <v>31</v>
      </c>
      <c r="B11" s="19"/>
      <c r="C11" s="20"/>
      <c r="D11" s="21"/>
      <c r="E11" s="22"/>
      <c r="F11" s="23"/>
      <c r="G11" s="18" t="s">
        <v>32</v>
      </c>
    </row>
    <row r="12" customFormat="false" ht="19.5" hidden="false" customHeight="true" outlineLevel="0" collapsed="false">
      <c r="A12" s="17" t="s">
        <v>33</v>
      </c>
      <c r="B12" s="17"/>
      <c r="C12" s="17"/>
      <c r="D12" s="17"/>
      <c r="E12" s="17"/>
      <c r="F12" s="17"/>
      <c r="G12" s="17"/>
    </row>
    <row r="13" customFormat="false" ht="43.5" hidden="false" customHeight="true" outlineLevel="0" collapsed="false">
      <c r="A13" s="18" t="s">
        <v>34</v>
      </c>
      <c r="B13" s="19"/>
      <c r="C13" s="20"/>
      <c r="D13" s="21"/>
      <c r="E13" s="22"/>
      <c r="F13" s="23"/>
      <c r="G13" s="18" t="s">
        <v>35</v>
      </c>
    </row>
    <row r="14" customFormat="false" ht="43.5" hidden="false" customHeight="true" outlineLevel="0" collapsed="false">
      <c r="A14" s="18" t="s">
        <v>36</v>
      </c>
      <c r="B14" s="19"/>
      <c r="C14" s="20"/>
      <c r="D14" s="21"/>
      <c r="E14" s="22"/>
      <c r="F14" s="23"/>
      <c r="G14" s="18" t="s">
        <v>37</v>
      </c>
    </row>
    <row r="15" customFormat="false" ht="19.5" hidden="false" customHeight="true" outlineLevel="0" collapsed="false">
      <c r="A15" s="17" t="s">
        <v>38</v>
      </c>
      <c r="B15" s="17"/>
      <c r="C15" s="17"/>
      <c r="D15" s="17"/>
      <c r="E15" s="17"/>
      <c r="F15" s="17"/>
      <c r="G15" s="17"/>
    </row>
    <row r="16" customFormat="false" ht="43.5" hidden="false" customHeight="true" outlineLevel="0" collapsed="false">
      <c r="A16" s="18" t="s">
        <v>39</v>
      </c>
      <c r="B16" s="19"/>
      <c r="C16" s="20"/>
      <c r="D16" s="21"/>
      <c r="E16" s="22"/>
      <c r="F16" s="23"/>
      <c r="G16" s="18" t="s">
        <v>40</v>
      </c>
    </row>
    <row r="17" customFormat="false" ht="43.5" hidden="false" customHeight="true" outlineLevel="0" collapsed="false">
      <c r="A17" s="18" t="s">
        <v>41</v>
      </c>
      <c r="B17" s="19"/>
      <c r="C17" s="20"/>
      <c r="D17" s="21"/>
      <c r="E17" s="22"/>
      <c r="F17" s="23"/>
      <c r="G17" s="18" t="s">
        <v>42</v>
      </c>
    </row>
    <row r="18" customFormat="false" ht="43.5" hidden="false" customHeight="true" outlineLevel="0" collapsed="false">
      <c r="A18" s="18" t="s">
        <v>43</v>
      </c>
      <c r="B18" s="19"/>
      <c r="C18" s="20"/>
      <c r="D18" s="21"/>
      <c r="E18" s="22"/>
      <c r="F18" s="23"/>
      <c r="G18" s="18" t="s">
        <v>44</v>
      </c>
    </row>
    <row r="19" customFormat="false" ht="19.5" hidden="false" customHeight="true" outlineLevel="0" collapsed="false">
      <c r="A19" s="17" t="s">
        <v>45</v>
      </c>
      <c r="B19" s="17"/>
      <c r="C19" s="17"/>
      <c r="D19" s="17"/>
      <c r="E19" s="17"/>
      <c r="F19" s="17"/>
      <c r="G19" s="17"/>
    </row>
    <row r="20" customFormat="false" ht="43.5" hidden="false" customHeight="true" outlineLevel="0" collapsed="false">
      <c r="A20" s="18" t="s">
        <v>46</v>
      </c>
      <c r="B20" s="19"/>
      <c r="C20" s="20"/>
      <c r="D20" s="21"/>
      <c r="E20" s="22"/>
      <c r="F20" s="23"/>
      <c r="G20" s="18" t="s">
        <v>47</v>
      </c>
    </row>
    <row r="21" customFormat="false" ht="19.5" hidden="false" customHeight="true" outlineLevel="0" collapsed="false">
      <c r="A21" s="17" t="s">
        <v>48</v>
      </c>
      <c r="B21" s="17"/>
      <c r="C21" s="17"/>
      <c r="D21" s="17"/>
      <c r="E21" s="17"/>
      <c r="F21" s="17"/>
      <c r="G21" s="17"/>
    </row>
    <row r="22" customFormat="false" ht="43.5" hidden="false" customHeight="true" outlineLevel="0" collapsed="false">
      <c r="A22" s="18" t="s">
        <v>49</v>
      </c>
      <c r="B22" s="19"/>
      <c r="C22" s="20"/>
      <c r="D22" s="21"/>
      <c r="E22" s="22"/>
      <c r="F22" s="23"/>
      <c r="G22" s="18" t="s">
        <v>50</v>
      </c>
    </row>
    <row r="23" customFormat="false" ht="43.5" hidden="false" customHeight="true" outlineLevel="0" collapsed="false">
      <c r="A23" s="18" t="s">
        <v>51</v>
      </c>
      <c r="B23" s="19"/>
      <c r="C23" s="20"/>
      <c r="D23" s="21"/>
      <c r="E23" s="22"/>
      <c r="F23" s="23"/>
      <c r="G23" s="18" t="s">
        <v>52</v>
      </c>
    </row>
    <row r="24" customFormat="false" ht="19.5" hidden="false" customHeight="true" outlineLevel="0" collapsed="false">
      <c r="A24" s="17" t="s">
        <v>53</v>
      </c>
      <c r="B24" s="17"/>
      <c r="C24" s="17"/>
      <c r="D24" s="17"/>
      <c r="E24" s="17"/>
      <c r="F24" s="17"/>
      <c r="G24" s="17"/>
    </row>
    <row r="25" customFormat="false" ht="43.5" hidden="false" customHeight="true" outlineLevel="0" collapsed="false">
      <c r="A25" s="18" t="s">
        <v>54</v>
      </c>
      <c r="B25" s="19"/>
      <c r="C25" s="20"/>
      <c r="D25" s="21"/>
      <c r="E25" s="22"/>
      <c r="F25" s="23"/>
      <c r="G25" s="18" t="s">
        <v>55</v>
      </c>
    </row>
    <row r="26" customFormat="false" ht="43.5" hidden="false" customHeight="true" outlineLevel="0" collapsed="false">
      <c r="A26" s="18" t="s">
        <v>56</v>
      </c>
      <c r="B26" s="19"/>
      <c r="C26" s="20"/>
      <c r="D26" s="21"/>
      <c r="E26" s="22"/>
      <c r="F26" s="23"/>
      <c r="G26" s="18" t="s">
        <v>57</v>
      </c>
    </row>
    <row r="27" customFormat="false" ht="19.5" hidden="false" customHeight="true" outlineLevel="0" collapsed="false">
      <c r="A27" s="17" t="s">
        <v>58</v>
      </c>
      <c r="B27" s="17"/>
      <c r="C27" s="17"/>
      <c r="D27" s="17"/>
      <c r="E27" s="17"/>
      <c r="F27" s="17"/>
      <c r="G27" s="17"/>
    </row>
    <row r="28" customFormat="false" ht="43.5" hidden="false" customHeight="true" outlineLevel="0" collapsed="false">
      <c r="A28" s="18" t="s">
        <v>59</v>
      </c>
      <c r="B28" s="19"/>
      <c r="C28" s="20"/>
      <c r="D28" s="21"/>
      <c r="E28" s="22"/>
      <c r="F28" s="23"/>
      <c r="G28" s="18" t="s">
        <v>60</v>
      </c>
    </row>
    <row r="29" customFormat="false" ht="19.5" hidden="false" customHeight="true" outlineLevel="0" collapsed="false">
      <c r="A29" s="17" t="s">
        <v>61</v>
      </c>
      <c r="B29" s="17"/>
      <c r="C29" s="17"/>
      <c r="D29" s="17"/>
      <c r="E29" s="17"/>
      <c r="F29" s="17"/>
      <c r="G29" s="17"/>
    </row>
    <row r="30" customFormat="false" ht="43.5" hidden="false" customHeight="true" outlineLevel="0" collapsed="false">
      <c r="A30" s="18" t="s">
        <v>62</v>
      </c>
      <c r="B30" s="19"/>
      <c r="C30" s="20"/>
      <c r="D30" s="21"/>
      <c r="E30" s="22"/>
      <c r="F30" s="23"/>
      <c r="G30" s="18" t="s">
        <v>63</v>
      </c>
    </row>
    <row r="31" customFormat="false" ht="43.5" hidden="false" customHeight="true" outlineLevel="0" collapsed="false">
      <c r="A31" s="18" t="s">
        <v>64</v>
      </c>
      <c r="B31" s="19"/>
      <c r="C31" s="20"/>
      <c r="D31" s="21"/>
      <c r="E31" s="22"/>
      <c r="F31" s="23"/>
      <c r="G31" s="18" t="s">
        <v>65</v>
      </c>
    </row>
    <row r="32" customFormat="false" ht="19.5" hidden="false" customHeight="true" outlineLevel="0" collapsed="false">
      <c r="A32" s="17" t="s">
        <v>66</v>
      </c>
      <c r="B32" s="17"/>
      <c r="C32" s="17"/>
      <c r="D32" s="17"/>
      <c r="E32" s="17"/>
      <c r="F32" s="17"/>
      <c r="G32" s="17"/>
    </row>
    <row r="33" customFormat="false" ht="43.5" hidden="false" customHeight="true" outlineLevel="0" collapsed="false">
      <c r="A33" s="18" t="s">
        <v>67</v>
      </c>
      <c r="B33" s="19"/>
      <c r="C33" s="20"/>
      <c r="D33" s="21"/>
      <c r="E33" s="22"/>
      <c r="F33" s="23"/>
      <c r="G33" s="18" t="s">
        <v>68</v>
      </c>
    </row>
    <row r="34" customFormat="false" ht="43.5" hidden="false" customHeight="true" outlineLevel="0" collapsed="false">
      <c r="A34" s="18" t="s">
        <v>69</v>
      </c>
      <c r="B34" s="19"/>
      <c r="C34" s="20"/>
      <c r="D34" s="21"/>
      <c r="E34" s="22"/>
      <c r="F34" s="23"/>
      <c r="G34" s="18" t="s">
        <v>70</v>
      </c>
    </row>
    <row r="35" customFormat="false" ht="19.5" hidden="false" customHeight="true" outlineLevel="0" collapsed="false">
      <c r="A35" s="17" t="s">
        <v>71</v>
      </c>
      <c r="B35" s="17"/>
      <c r="C35" s="17"/>
      <c r="D35" s="17"/>
      <c r="E35" s="17"/>
      <c r="F35" s="17"/>
      <c r="G35" s="17"/>
    </row>
    <row r="36" customFormat="false" ht="43.5" hidden="false" customHeight="true" outlineLevel="0" collapsed="false">
      <c r="A36" s="18" t="s">
        <v>72</v>
      </c>
      <c r="B36" s="19"/>
      <c r="C36" s="20"/>
      <c r="D36" s="21"/>
      <c r="E36" s="22"/>
      <c r="F36" s="23"/>
      <c r="G36" s="18" t="s">
        <v>73</v>
      </c>
    </row>
    <row r="37" customFormat="false" ht="19.5" hidden="false" customHeight="true" outlineLevel="0" collapsed="false">
      <c r="A37" s="17" t="s">
        <v>74</v>
      </c>
      <c r="B37" s="17"/>
      <c r="C37" s="17"/>
      <c r="D37" s="17"/>
      <c r="E37" s="17"/>
      <c r="F37" s="17"/>
      <c r="G37" s="17"/>
    </row>
    <row r="38" customFormat="false" ht="43.5" hidden="false" customHeight="true" outlineLevel="0" collapsed="false">
      <c r="A38" s="18" t="s">
        <v>75</v>
      </c>
      <c r="B38" s="19"/>
      <c r="C38" s="20"/>
      <c r="D38" s="21"/>
      <c r="E38" s="22"/>
      <c r="F38" s="23"/>
      <c r="G38" s="18" t="s">
        <v>76</v>
      </c>
    </row>
    <row r="39" customFormat="false" ht="43.5" hidden="false" customHeight="true" outlineLevel="0" collapsed="false">
      <c r="A39" s="18" t="s">
        <v>77</v>
      </c>
      <c r="B39" s="19"/>
      <c r="C39" s="20"/>
      <c r="D39" s="21"/>
      <c r="E39" s="22"/>
      <c r="F39" s="23"/>
      <c r="G39" s="18" t="s">
        <v>78</v>
      </c>
    </row>
  </sheetData>
  <mergeCells count="15">
    <mergeCell ref="A1:G1"/>
    <mergeCell ref="A2:G2"/>
    <mergeCell ref="A4:G4"/>
    <mergeCell ref="A8:G8"/>
    <mergeCell ref="A10:G10"/>
    <mergeCell ref="A12:G12"/>
    <mergeCell ref="A15:G15"/>
    <mergeCell ref="A19:G19"/>
    <mergeCell ref="A21:G21"/>
    <mergeCell ref="A24:G24"/>
    <mergeCell ref="A27:G27"/>
    <mergeCell ref="A29:G29"/>
    <mergeCell ref="A32:G32"/>
    <mergeCell ref="A35:G35"/>
    <mergeCell ref="A37:G37"/>
  </mergeCells>
  <dataValidations count="1">
    <dataValidation allowBlank="true" error="בחרו ✗ מהרשימה (או השאירו ריק)" errorStyle="stop" errorTitle="סימון" operator="between" prompt="בחרו ✗ לסימון המשבצת" promptTitle="סימון" showDropDown="false" showErrorMessage="true" showInputMessage="false" sqref="B5:F7 B9:F9 B11:F11 B13:F14 B16:F18 B20:F20 B22:F23 B25:F26 B28:F28 B30:F31 B33:F34 B36:F36 B38:F39" type="list">
      <formula1>"✗"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4" t="s">
        <v>79</v>
      </c>
      <c r="B1" s="24" t="s">
        <v>80</v>
      </c>
    </row>
    <row r="2" customFormat="false" ht="15" hidden="false" customHeight="false" outlineLevel="0" collapsed="false">
      <c r="A2" s="1" t="n">
        <v>5</v>
      </c>
      <c r="B2" s="1" t="str">
        <f aca="false">IF(COUNTA(שאלון!B5:F5)=0,"",1*(שאלון!B5&lt;&gt;"")+2*(שאלון!C5&lt;&gt;"")+3*(שאלון!D5&lt;&gt;"")+4*(שאלון!E5&lt;&gt;"")+5*(שאלון!F5&lt;&gt;""))</f>
        <v/>
      </c>
    </row>
    <row r="3" customFormat="false" ht="15" hidden="false" customHeight="false" outlineLevel="0" collapsed="false">
      <c r="A3" s="1" t="n">
        <v>6</v>
      </c>
      <c r="B3" s="1" t="str">
        <f aca="false">IF(COUNTA(שאלון!B6:F6)=0,"",1*(שאלון!B6&lt;&gt;"")+2*(שאלון!C6&lt;&gt;"")+3*(שאלון!D6&lt;&gt;"")+4*(שאלון!E6&lt;&gt;"")+5*(שאלון!F6&lt;&gt;""))</f>
        <v/>
      </c>
    </row>
    <row r="4" customFormat="false" ht="15" hidden="false" customHeight="false" outlineLevel="0" collapsed="false">
      <c r="A4" s="1" t="n">
        <v>7</v>
      </c>
      <c r="B4" s="1" t="str">
        <f aca="false">IF(COUNTA(שאלון!B7:F7)=0,"",1*(שאלון!B7&lt;&gt;"")+2*(שאלון!C7&lt;&gt;"")+3*(שאלון!D7&lt;&gt;"")+4*(שאלון!E7&lt;&gt;"")+5*(שאלון!F7&lt;&gt;""))</f>
        <v/>
      </c>
    </row>
    <row r="5" customFormat="false" ht="15" hidden="false" customHeight="false" outlineLevel="0" collapsed="false">
      <c r="A5" s="1" t="n">
        <v>9</v>
      </c>
      <c r="B5" s="1" t="str">
        <f aca="false">IF(COUNTA(שאלון!B9:F9)=0,"",1*(שאלון!B9&lt;&gt;"")+2*(שאלון!C9&lt;&gt;"")+3*(שאלון!D9&lt;&gt;"")+4*(שאלון!E9&lt;&gt;"")+5*(שאלון!F9&lt;&gt;""))</f>
        <v/>
      </c>
    </row>
    <row r="6" customFormat="false" ht="15" hidden="false" customHeight="false" outlineLevel="0" collapsed="false">
      <c r="A6" s="1" t="n">
        <v>11</v>
      </c>
      <c r="B6" s="1" t="str">
        <f aca="false">IF(COUNTA(שאלון!B11:F11)=0,"",1*(שאלון!B11&lt;&gt;"")+2*(שאלון!C11&lt;&gt;"")+3*(שאלון!D11&lt;&gt;"")+4*(שאלון!E11&lt;&gt;"")+5*(שאלון!F11&lt;&gt;""))</f>
        <v/>
      </c>
    </row>
    <row r="7" customFormat="false" ht="15" hidden="false" customHeight="false" outlineLevel="0" collapsed="false">
      <c r="A7" s="1" t="n">
        <v>13</v>
      </c>
      <c r="B7" s="1" t="str">
        <f aca="false">IF(COUNTA(שאלון!B13:F13)=0,"",1*(שאלון!B13&lt;&gt;"")+2*(שאלון!C13&lt;&gt;"")+3*(שאלון!D13&lt;&gt;"")+4*(שאלון!E13&lt;&gt;"")+5*(שאלון!F13&lt;&gt;""))</f>
        <v/>
      </c>
    </row>
    <row r="8" customFormat="false" ht="15" hidden="false" customHeight="false" outlineLevel="0" collapsed="false">
      <c r="A8" s="1" t="n">
        <v>14</v>
      </c>
      <c r="B8" s="1" t="str">
        <f aca="false">IF(COUNTA(שאלון!B14:F14)=0,"",1*(שאלון!B14&lt;&gt;"")+2*(שאלון!C14&lt;&gt;"")+3*(שאלון!D14&lt;&gt;"")+4*(שאלון!E14&lt;&gt;"")+5*(שאלון!F14&lt;&gt;""))</f>
        <v/>
      </c>
    </row>
    <row r="9" customFormat="false" ht="15" hidden="false" customHeight="false" outlineLevel="0" collapsed="false">
      <c r="A9" s="1" t="n">
        <v>16</v>
      </c>
      <c r="B9" s="1" t="str">
        <f aca="false">IF(COUNTA(שאלון!B16:F16)=0,"",1*(שאלון!B16&lt;&gt;"")+2*(שאלון!C16&lt;&gt;"")+3*(שאלון!D16&lt;&gt;"")+4*(שאלון!E16&lt;&gt;"")+5*(שאלון!F16&lt;&gt;""))</f>
        <v/>
      </c>
    </row>
    <row r="10" customFormat="false" ht="15" hidden="false" customHeight="false" outlineLevel="0" collapsed="false">
      <c r="A10" s="1" t="n">
        <v>17</v>
      </c>
      <c r="B10" s="1" t="str">
        <f aca="false">IF(COUNTA(שאלון!B17:F17)=0,"",1*(שאלון!B17&lt;&gt;"")+2*(שאלון!C17&lt;&gt;"")+3*(שאלון!D17&lt;&gt;"")+4*(שאלון!E17&lt;&gt;"")+5*(שאלון!F17&lt;&gt;""))</f>
        <v/>
      </c>
    </row>
    <row r="11" customFormat="false" ht="15" hidden="false" customHeight="false" outlineLevel="0" collapsed="false">
      <c r="A11" s="1" t="n">
        <v>18</v>
      </c>
      <c r="B11" s="1" t="str">
        <f aca="false">IF(COUNTA(שאלון!B18:F18)=0,"",1*(שאלון!B18&lt;&gt;"")+2*(שאלון!C18&lt;&gt;"")+3*(שאלון!D18&lt;&gt;"")+4*(שאלון!E18&lt;&gt;"")+5*(שאלון!F18&lt;&gt;""))</f>
        <v/>
      </c>
    </row>
    <row r="12" customFormat="false" ht="15" hidden="false" customHeight="false" outlineLevel="0" collapsed="false">
      <c r="A12" s="1" t="n">
        <v>20</v>
      </c>
      <c r="B12" s="1" t="str">
        <f aca="false">IF(COUNTA(שאלון!B20:F20)=0,"",1*(שאלון!B20&lt;&gt;"")+2*(שאלון!C20&lt;&gt;"")+3*(שאלון!D20&lt;&gt;"")+4*(שאלון!E20&lt;&gt;"")+5*(שאלון!F20&lt;&gt;""))</f>
        <v/>
      </c>
    </row>
    <row r="13" customFormat="false" ht="15" hidden="false" customHeight="false" outlineLevel="0" collapsed="false">
      <c r="A13" s="1" t="n">
        <v>22</v>
      </c>
      <c r="B13" s="1" t="str">
        <f aca="false">IF(COUNTA(שאלון!B22:F22)=0,"",1*(שאלון!B22&lt;&gt;"")+2*(שאלון!C22&lt;&gt;"")+3*(שאלון!D22&lt;&gt;"")+4*(שאלון!E22&lt;&gt;"")+5*(שאלון!F22&lt;&gt;""))</f>
        <v/>
      </c>
    </row>
    <row r="14" customFormat="false" ht="15" hidden="false" customHeight="false" outlineLevel="0" collapsed="false">
      <c r="A14" s="1" t="n">
        <v>23</v>
      </c>
      <c r="B14" s="1" t="str">
        <f aca="false">IF(COUNTA(שאלון!B23:F23)=0,"",1*(שאלון!B23&lt;&gt;"")+2*(שאלון!C23&lt;&gt;"")+3*(שאלון!D23&lt;&gt;"")+4*(שאלון!E23&lt;&gt;"")+5*(שאלון!F23&lt;&gt;""))</f>
        <v/>
      </c>
    </row>
    <row r="15" customFormat="false" ht="15" hidden="false" customHeight="false" outlineLevel="0" collapsed="false">
      <c r="A15" s="1" t="n">
        <v>25</v>
      </c>
      <c r="B15" s="1" t="str">
        <f aca="false">IF(COUNTA(שאלון!B25:F25)=0,"",1*(שאלון!B25&lt;&gt;"")+2*(שאלון!C25&lt;&gt;"")+3*(שאלון!D25&lt;&gt;"")+4*(שאלון!E25&lt;&gt;"")+5*(שאלון!F25&lt;&gt;""))</f>
        <v/>
      </c>
    </row>
    <row r="16" customFormat="false" ht="15" hidden="false" customHeight="false" outlineLevel="0" collapsed="false">
      <c r="A16" s="1" t="n">
        <v>26</v>
      </c>
      <c r="B16" s="1" t="str">
        <f aca="false">IF(COUNTA(שאלון!B26:F26)=0,"",1*(שאלון!B26&lt;&gt;"")+2*(שאלון!C26&lt;&gt;"")+3*(שאלון!D26&lt;&gt;"")+4*(שאלון!E26&lt;&gt;"")+5*(שאלון!F26&lt;&gt;""))</f>
        <v/>
      </c>
    </row>
    <row r="17" customFormat="false" ht="15" hidden="false" customHeight="false" outlineLevel="0" collapsed="false">
      <c r="A17" s="1" t="n">
        <v>28</v>
      </c>
      <c r="B17" s="1" t="str">
        <f aca="false">IF(COUNTA(שאלון!B28:F28)=0,"",1*(שאלון!B28&lt;&gt;"")+2*(שאלון!C28&lt;&gt;"")+3*(שאלון!D28&lt;&gt;"")+4*(שאלון!E28&lt;&gt;"")+5*(שאלון!F28&lt;&gt;""))</f>
        <v/>
      </c>
    </row>
    <row r="18" customFormat="false" ht="15" hidden="false" customHeight="false" outlineLevel="0" collapsed="false">
      <c r="A18" s="1" t="n">
        <v>30</v>
      </c>
      <c r="B18" s="1" t="str">
        <f aca="false">IF(COUNTA(שאלון!B30:F30)=0,"",1*(שאלון!B30&lt;&gt;"")+2*(שאלון!C30&lt;&gt;"")+3*(שאלון!D30&lt;&gt;"")+4*(שאלון!E30&lt;&gt;"")+5*(שאלון!F30&lt;&gt;""))</f>
        <v/>
      </c>
    </row>
    <row r="19" customFormat="false" ht="15" hidden="false" customHeight="false" outlineLevel="0" collapsed="false">
      <c r="A19" s="1" t="n">
        <v>31</v>
      </c>
      <c r="B19" s="1" t="str">
        <f aca="false">IF(COUNTA(שאלון!B31:F31)=0,"",1*(שאלון!B31&lt;&gt;"")+2*(שאלון!C31&lt;&gt;"")+3*(שאלון!D31&lt;&gt;"")+4*(שאלון!E31&lt;&gt;"")+5*(שאלון!F31&lt;&gt;""))</f>
        <v/>
      </c>
    </row>
    <row r="20" customFormat="false" ht="15" hidden="false" customHeight="false" outlineLevel="0" collapsed="false">
      <c r="A20" s="1" t="n">
        <v>33</v>
      </c>
      <c r="B20" s="1" t="str">
        <f aca="false">IF(COUNTA(שאלון!B33:F33)=0,"",1*(שאלון!B33&lt;&gt;"")+2*(שאלון!C33&lt;&gt;"")+3*(שאלון!D33&lt;&gt;"")+4*(שאלון!E33&lt;&gt;"")+5*(שאלון!F33&lt;&gt;""))</f>
        <v/>
      </c>
    </row>
    <row r="21" customFormat="false" ht="15" hidden="false" customHeight="false" outlineLevel="0" collapsed="false">
      <c r="A21" s="1" t="n">
        <v>34</v>
      </c>
      <c r="B21" s="1" t="str">
        <f aca="false">IF(COUNTA(שאלון!B34:F34)=0,"",1*(שאלון!B34&lt;&gt;"")+2*(שאלון!C34&lt;&gt;"")+3*(שאלון!D34&lt;&gt;"")+4*(שאלון!E34&lt;&gt;"")+5*(שאלון!F34&lt;&gt;""))</f>
        <v/>
      </c>
    </row>
    <row r="22" customFormat="false" ht="15" hidden="false" customHeight="false" outlineLevel="0" collapsed="false">
      <c r="A22" s="1" t="n">
        <v>36</v>
      </c>
      <c r="B22" s="1" t="str">
        <f aca="false">IF(COUNTA(שאלון!B36:F36)=0,"",1*(שאלון!B36&lt;&gt;"")+2*(שאלון!C36&lt;&gt;"")+3*(שאלון!D36&lt;&gt;"")+4*(שאלון!E36&lt;&gt;"")+5*(שאלון!F36&lt;&gt;""))</f>
        <v/>
      </c>
    </row>
    <row r="23" customFormat="false" ht="15" hidden="false" customHeight="false" outlineLevel="0" collapsed="false">
      <c r="A23" s="1" t="n">
        <v>38</v>
      </c>
      <c r="B23" s="1" t="str">
        <f aca="false">IF(COUNTA(שאלון!B38:F38)=0,"",1*(שאלון!B38&lt;&gt;"")+2*(שאלון!C38&lt;&gt;"")+3*(שאלון!D38&lt;&gt;"")+4*(שאלון!E38&lt;&gt;"")+5*(שאלון!F38&lt;&gt;""))</f>
        <v/>
      </c>
    </row>
    <row r="24" customFormat="false" ht="15" hidden="false" customHeight="false" outlineLevel="0" collapsed="false">
      <c r="A24" s="1" t="n">
        <v>39</v>
      </c>
      <c r="B24" s="1" t="str">
        <f aca="false">IF(COUNTA(שאלון!B39:F39)=0,"",1*(שאלון!B39&lt;&gt;"")+2*(שאלון!C39&lt;&gt;"")+3*(שאלון!D39&lt;&gt;"")+4*(שאלון!E39&lt;&gt;"")+5*(שאלון!F39&lt;&gt;""))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3" min="3" style="1" width="22"/>
  </cols>
  <sheetData>
    <row r="1" customFormat="false" ht="24" hidden="false" customHeight="true" outlineLevel="0" collapsed="false">
      <c r="A1" s="8" t="s">
        <v>81</v>
      </c>
      <c r="B1" s="8"/>
      <c r="C1" s="8"/>
    </row>
    <row r="2" customFormat="false" ht="15" hidden="false" customHeight="false" outlineLevel="0" collapsed="false">
      <c r="A2" s="25" t="s">
        <v>82</v>
      </c>
      <c r="B2" s="26" t="s">
        <v>83</v>
      </c>
      <c r="C2" s="26" t="s">
        <v>84</v>
      </c>
    </row>
    <row r="3" customFormat="false" ht="18" hidden="false" customHeight="true" outlineLevel="0" collapsed="false">
      <c r="A3" s="18" t="s">
        <v>20</v>
      </c>
      <c r="B3" s="27" t="str">
        <f aca="false">IF(COUNT(חישוב!B2:B4)=0,"",ROUND(AVERAGE(חישוב!B2:B4),2))</f>
        <v/>
      </c>
      <c r="C3" s="28" t="str">
        <f aca="false">IF(B3="","-",IF(B3&lt;=2,"עני דומיננטי",IF(B3&lt;=3,"נטייה לעני",IF(B3&lt;=4,"נטייה לעשיר","עשיר דומיננטי"))))</f>
        <v>-</v>
      </c>
    </row>
    <row r="4" customFormat="false" ht="18" hidden="false" customHeight="true" outlineLevel="0" collapsed="false">
      <c r="A4" s="18" t="s">
        <v>27</v>
      </c>
      <c r="B4" s="27" t="str">
        <f aca="false">IF(COUNT(חישוב!B5)=0,"",ROUND(AVERAGE(חישוב!B5),2))</f>
        <v/>
      </c>
      <c r="C4" s="28" t="str">
        <f aca="false">IF(B4="","-",IF(B4&lt;=2,"עני דומיננטי",IF(B4&lt;=3,"נטייה לעני",IF(B4&lt;=4,"נטייה לעשיר","עשיר דומיננטי"))))</f>
        <v>-</v>
      </c>
    </row>
    <row r="5" customFormat="false" ht="18" hidden="false" customHeight="true" outlineLevel="0" collapsed="false">
      <c r="A5" s="18" t="s">
        <v>30</v>
      </c>
      <c r="B5" s="27" t="str">
        <f aca="false">IF(COUNT(חישוב!B6)=0,"",ROUND(AVERAGE(חישוב!B6),2))</f>
        <v/>
      </c>
      <c r="C5" s="28" t="str">
        <f aca="false">IF(B5="","-",IF(B5&lt;=2,"עני דומיננטי",IF(B5&lt;=3,"נטייה לעני",IF(B5&lt;=4,"נטייה לעשיר","עשיר דומיננטי"))))</f>
        <v>-</v>
      </c>
    </row>
    <row r="6" customFormat="false" ht="18" hidden="false" customHeight="true" outlineLevel="0" collapsed="false">
      <c r="A6" s="18" t="s">
        <v>33</v>
      </c>
      <c r="B6" s="27" t="str">
        <f aca="false">IF(COUNT(חישוב!B7:B8)=0,"",ROUND(AVERAGE(חישוב!B7:B8),2))</f>
        <v/>
      </c>
      <c r="C6" s="28" t="str">
        <f aca="false">IF(B6="","-",IF(B6&lt;=2,"עני דומיננטי",IF(B6&lt;=3,"נטייה לעני",IF(B6&lt;=4,"נטייה לעשיר","עשיר דומיננטי"))))</f>
        <v>-</v>
      </c>
    </row>
    <row r="7" customFormat="false" ht="18" hidden="false" customHeight="true" outlineLevel="0" collapsed="false">
      <c r="A7" s="18" t="s">
        <v>38</v>
      </c>
      <c r="B7" s="27" t="str">
        <f aca="false">IF(COUNT(חישוב!B9:B11)=0,"",ROUND(AVERAGE(חישוב!B9:B11),2))</f>
        <v/>
      </c>
      <c r="C7" s="28" t="str">
        <f aca="false">IF(B7="","-",IF(B7&lt;=2,"עני דומיננטי",IF(B7&lt;=3,"נטייה לעני",IF(B7&lt;=4,"נטייה לעשיר","עשיר דומיננטי"))))</f>
        <v>-</v>
      </c>
    </row>
    <row r="8" customFormat="false" ht="18" hidden="false" customHeight="true" outlineLevel="0" collapsed="false">
      <c r="A8" s="18" t="s">
        <v>45</v>
      </c>
      <c r="B8" s="27" t="str">
        <f aca="false">IF(COUNT(חישוב!B12)=0,"",ROUND(AVERAGE(חישוב!B12),2))</f>
        <v/>
      </c>
      <c r="C8" s="28" t="str">
        <f aca="false">IF(B8="","-",IF(B8&lt;=2,"עני דומיננטי",IF(B8&lt;=3,"נטייה לעני",IF(B8&lt;=4,"נטייה לעשיר","עשיר דומיננטי"))))</f>
        <v>-</v>
      </c>
    </row>
    <row r="9" customFormat="false" ht="18" hidden="false" customHeight="true" outlineLevel="0" collapsed="false">
      <c r="A9" s="18" t="s">
        <v>48</v>
      </c>
      <c r="B9" s="27" t="str">
        <f aca="false">IF(COUNT(חישוב!B13:B14)=0,"",ROUND(AVERAGE(חישוב!B13:B14),2))</f>
        <v/>
      </c>
      <c r="C9" s="28" t="str">
        <f aca="false">IF(B9="","-",IF(B9&lt;=2,"עני דומיננטי",IF(B9&lt;=3,"נטייה לעני",IF(B9&lt;=4,"נטייה לעשיר","עשיר דומיננטי"))))</f>
        <v>-</v>
      </c>
    </row>
    <row r="10" customFormat="false" ht="18" hidden="false" customHeight="true" outlineLevel="0" collapsed="false">
      <c r="A10" s="18" t="s">
        <v>53</v>
      </c>
      <c r="B10" s="27" t="str">
        <f aca="false">IF(COUNT(חישוב!B15:B16)=0,"",ROUND(AVERAGE(חישוב!B15:B16),2))</f>
        <v/>
      </c>
      <c r="C10" s="28" t="str">
        <f aca="false">IF(B10="","-",IF(B10&lt;=2,"עני דומיננטי",IF(B10&lt;=3,"נטייה לעני",IF(B10&lt;=4,"נטייה לעשיר","עשיר דומיננטי"))))</f>
        <v>-</v>
      </c>
    </row>
    <row r="11" customFormat="false" ht="18" hidden="false" customHeight="true" outlineLevel="0" collapsed="false">
      <c r="A11" s="18" t="s">
        <v>58</v>
      </c>
      <c r="B11" s="27" t="str">
        <f aca="false">IF(COUNT(חישוב!B17)=0,"",ROUND(AVERAGE(חישוב!B17),2))</f>
        <v/>
      </c>
      <c r="C11" s="28" t="str">
        <f aca="false">IF(B11="","-",IF(B11&lt;=2,"עני דומיננטי",IF(B11&lt;=3,"נטייה לעני",IF(B11&lt;=4,"נטייה לעשיר","עשיר דומיננטי"))))</f>
        <v>-</v>
      </c>
    </row>
    <row r="12" customFormat="false" ht="18" hidden="false" customHeight="true" outlineLevel="0" collapsed="false">
      <c r="A12" s="18" t="s">
        <v>61</v>
      </c>
      <c r="B12" s="27" t="str">
        <f aca="false">IF(COUNT(חישוב!B18:B19)=0,"",ROUND(AVERAGE(חישוב!B18:B19),2))</f>
        <v/>
      </c>
      <c r="C12" s="28" t="str">
        <f aca="false">IF(B12="","-",IF(B12&lt;=2,"עני דומיננטי",IF(B12&lt;=3,"נטייה לעני",IF(B12&lt;=4,"נטייה לעשיר","עשיר דומיננטי"))))</f>
        <v>-</v>
      </c>
    </row>
    <row r="13" customFormat="false" ht="18" hidden="false" customHeight="true" outlineLevel="0" collapsed="false">
      <c r="A13" s="18" t="s">
        <v>66</v>
      </c>
      <c r="B13" s="27" t="str">
        <f aca="false">IF(COUNT(חישוב!B20:B21)=0,"",ROUND(AVERAGE(חישוב!B20:B21),2))</f>
        <v/>
      </c>
      <c r="C13" s="28" t="str">
        <f aca="false">IF(B13="","-",IF(B13&lt;=2,"עני דומיננטי",IF(B13&lt;=3,"נטייה לעני",IF(B13&lt;=4,"נטייה לעשיר","עשיר דומיננטי"))))</f>
        <v>-</v>
      </c>
    </row>
    <row r="14" customFormat="false" ht="18" hidden="false" customHeight="true" outlineLevel="0" collapsed="false">
      <c r="A14" s="18" t="s">
        <v>71</v>
      </c>
      <c r="B14" s="27" t="str">
        <f aca="false">IF(COUNT(חישוב!B22)=0,"",ROUND(AVERAGE(חישוב!B22),2))</f>
        <v/>
      </c>
      <c r="C14" s="28" t="str">
        <f aca="false">IF(B14="","-",IF(B14&lt;=2,"עני דומיננטי",IF(B14&lt;=3,"נטייה לעני",IF(B14&lt;=4,"נטייה לעשיר","עשיר דומיננטי"))))</f>
        <v>-</v>
      </c>
    </row>
    <row r="15" customFormat="false" ht="18" hidden="false" customHeight="true" outlineLevel="0" collapsed="false">
      <c r="A15" s="18" t="s">
        <v>74</v>
      </c>
      <c r="B15" s="27" t="str">
        <f aca="false">IF(COUNT(חישוב!B23:B24)=0,"",ROUND(AVERAGE(חישוב!B23:B24),2))</f>
        <v/>
      </c>
      <c r="C15" s="28" t="str">
        <f aca="false">IF(B15="","-",IF(B15&lt;=2,"עני דומיננטי",IF(B15&lt;=3,"נטייה לעני",IF(B15&lt;=4,"נטייה לעשיר","עשיר דומיננטי"))))</f>
        <v>-</v>
      </c>
    </row>
    <row r="16" customFormat="false" ht="24" hidden="false" customHeight="true" outlineLevel="0" collapsed="false">
      <c r="A16" s="29" t="s">
        <v>85</v>
      </c>
      <c r="B16" s="30" t="str">
        <f aca="false">IF(COUNT(חישוב!B2:B24)=0,"",ROUND(AVERAGE(חישוב!B2:B24),2))</f>
        <v/>
      </c>
      <c r="C16" s="31" t="str">
        <f aca="false">IF(B16="","-",IF(B16&lt;=2,"עני דומיננטי",IF(B16&lt;=3,"נטייה לעני",IF(B16&lt;=4,"נטייה לעשיר","עשיר דומיננטי"))))</f>
        <v>-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2026-06-22T14:44:19Z</dcterms:created>
  <dc:creator>openpyxl</dc:creator>
  <dc:description/>
  <dc:language>en-US</dc:language>
  <cp:lastModifiedBy/>
  <dcterms:modified xsi:type="dcterms:W3CDTF">2026-06-22T14:44:42Z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