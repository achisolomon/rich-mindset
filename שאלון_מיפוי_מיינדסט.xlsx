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הוראות" sheetId="1" state="visible" r:id="rId3"/>
    <sheet name="שאלון" sheetId="2" state="visible" r:id="rId4"/>
    <sheet name="חישוב" sheetId="3" state="hidden" r:id="rId5"/>
    <sheet name="תוצאות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<sst xmlns="http://schemas.openxmlformats.org/spreadsheetml/2006/main" count="123" uniqueCount="107">
  <si>
    <t xml:space="preserve">שאלון מיפוי עצמי: מיינדסט עני מול מיינדסט עשיר</t>
  </si>
  <si>
    <t xml:space="preserve">"The other side of the coin"</t>
  </si>
  <si>
    <t xml:space="preserve">איך ממלאים?</t>
  </si>
  <si>
    <t xml:space="preserve">בלשונית "שאלון", כל שורה מציגה שני ניסוחים מנוגדים (ניסוח א׳ מימין, ניסוח ב׳ משמאל), ובין שניהם סקאלה של חמש משבצות.</t>
  </si>
  <si>
    <t xml:space="preserve">סמנו משבצת אחת (בחרו ✗ מהרשימה הנפתחת) לפי הניסוח שמתאר אתכם יותר: קרובים לניסוח א׳, באמצע, או קרובים לניסוח ב׳.</t>
  </si>
  <si>
    <t xml:space="preserve">השאלון מנוסח באופן נייטרלי בכוונה – אין כאן צד "טוב" או "רע". פשוט ענו בכנות לאן אתם נוטים בכל שורה.</t>
  </si>
  <si>
    <t xml:space="preserve">המשמעות של כל צד (איזה ניסוח שייך לאיזה מיינדסט) תתגלה רק בלשונית "תוצאות", אחרי שתסיימו למלא.</t>
  </si>
  <si>
    <t xml:space="preserve">איפה רואים את התוצאה?</t>
  </si>
  <si>
    <t xml:space="preserve">בלשונית "תוצאות" יחושבו אוטומטית ממוצע לכל קטגוריה, ציון כולל, ושני גרפים. בלשונית השאלון עצמה אין ציונים – רק הסימון.</t>
  </si>
  <si>
    <t xml:space="preserve">1.0–2.0  →  מיינדסט עני דומיננטי   |   2.1–3.0  →  נטייה לעני   |   3.1–4.0  →  נטייה לעשיר   |   4.1–5.0  →  עשיר דומיננטי</t>
  </si>
  <si>
    <t xml:space="preserve">טיפ: התמקדו בקטגוריות עם הציון הנמוך ביותר – שם הפוטנציאל הגדול ביותר לצמיחה.</t>
  </si>
  <si>
    <t xml:space="preserve">שאלון מיפוי עצמי – מיינדסט עני מול מיינדסט עשיר</t>
  </si>
  <si>
    <t xml:space="preserve">בכל שורה סמנו ✗ במשבצת אחת – לפי הניסוח שאתם מתחברים אליו יותר (ככל שקרוב יותר לניסוח, כך מתחברים אליו יותר).</t>
  </si>
  <si>
    <t xml:space="preserve">ניסוח א׳</t>
  </si>
  <si>
    <t xml:space="preserve">○</t>
  </si>
  <si>
    <t xml:space="preserve">ניסוח ב׳</t>
  </si>
  <si>
    <t xml:space="preserve">1. תפיסה עצמית, מקור פרנסה והשכלה</t>
  </si>
  <si>
    <t xml:space="preserve">אני רואה את עצמי בעיקר כאיש/אשת מקצוע, וההכנסה שלי מגיעה מהמקצוע.</t>
  </si>
  <si>
    <t xml:space="preserve">אני רואה את עצמי כבעל/ת עסק, וההכנסה שלי מגיעה מהעסק ומהנכסים.</t>
  </si>
  <si>
    <t xml:space="preserve">מעניין אותי להשתפר ולהתקדם במקצוע שלי (קורות חיים, ראיונות, התמחות).</t>
  </si>
  <si>
    <t xml:space="preserve">מעניין אותי ללמוד את העולם העסקי (תוכנית עסקית, גיוס משקיעים, רכישת חברות).</t>
  </si>
  <si>
    <t xml:space="preserve">השאיפה שלי היא להתקדם ולהצליח בתוך המסלול המקצועי שלי.</t>
  </si>
  <si>
    <t xml:space="preserve">השאיפה שלי היא לבנות משהו משלי ולשלוט בכללי המשחק.</t>
  </si>
  <si>
    <t xml:space="preserve">אני משקיע/ה בעיקר בהשכלה ובמיומנויות המקצועיות שלי.</t>
  </si>
  <si>
    <t xml:space="preserve">אני משקיע/ה בעיקר בחינוך הפיננסי ובידע על כסף.</t>
  </si>
  <si>
    <t xml:space="preserve">2. זמן, כסף ובניית נכסים</t>
  </si>
  <si>
    <t xml:space="preserve">אני מאמין/ה שכדי להרוויח צריך לעבוד קשה בעצמי.</t>
  </si>
  <si>
    <t xml:space="preserve">אני שואף/ת שהכסף יעבוד עבורי, ולא רק אני עבורו.</t>
  </si>
  <si>
    <t xml:space="preserve">אני מעריך/ה את הזמן שלי ויודע/ת שזמן הוא כסף.</t>
  </si>
  <si>
    <t xml:space="preserve">אני מעדיף/ה להשקיע זמן בדברים שבונים נכסים לטווח ארוך.</t>
  </si>
  <si>
    <t xml:space="preserve">אני משקיע/ה את המאמץ בהגדלת המשכורת, ההטבות והקידום.</t>
  </si>
  <si>
    <t xml:space="preserve">אני משקיע/ה את המאמץ בבניית נכסים שמייצרים הכנסה פאסיבית.</t>
  </si>
  <si>
    <t xml:space="preserve">לפרישה אני מתכנן/ת להסתמך בעיקר על קצבת הפנסיה.</t>
  </si>
  <si>
    <t xml:space="preserve">לפרישה אני בונה נכסים שימשיכו לייצר הכנסה.</t>
  </si>
  <si>
    <t xml:space="preserve">3. צמיחה ולמידה</t>
  </si>
  <si>
    <t xml:space="preserve">אני מרגיש/ה שבתחומים שלי כבר צברתי ידע וניסיון טובים.</t>
  </si>
  <si>
    <t xml:space="preserve">אני מרגיש/ה שתמיד יש לי עוד מה ללמוד – "His cup is never full".</t>
  </si>
  <si>
    <t xml:space="preserve">כשמשהו לא עובד, אני נוטה להמשיך לפעול באותה דרך מוכרת.</t>
  </si>
  <si>
    <t xml:space="preserve">כשמשהו לא עובד, אני בוחן/ת מה ללמוד ומשנה גישה.</t>
  </si>
  <si>
    <t xml:space="preserve">כשמשהו לא מצליח, כנראה שזה פשוט לא בשבילי.</t>
  </si>
  <si>
    <t xml:space="preserve">כשאני נתקל/ת בקושי, אני מתמיד/ה וממשיך/ה לנסות בדרך אחרת.</t>
  </si>
  <si>
    <t xml:space="preserve">4. תודעת שפע מול מחסור</t>
  </si>
  <si>
    <t xml:space="preserve">אני נוטה לשמור ולהיזהר עם כסף, כי המשאבים מוגבלים.</t>
  </si>
  <si>
    <t xml:space="preserve">אני נוטה לראות שפע והזדמנויות, ושיש מספיק לכולם.</t>
  </si>
  <si>
    <t xml:space="preserve">כשמשהו יקר, אני דוחה סיפוקים – אקנה כשיהיה לי מספיק כסף.</t>
  </si>
  <si>
    <t xml:space="preserve">כשמשהו יקר, אני שואל/ת "איך אוכל להרשות לעצמי את זה?".</t>
  </si>
  <si>
    <t xml:space="preserve">אני נוהג/ת בזהירות ובבדיקה כשמגיעה הזדמנות חדשה.</t>
  </si>
  <si>
    <t xml:space="preserve">כשמגיעה הזדמנות, אני נוטה לפעול ולנצל אותה.</t>
  </si>
  <si>
    <t xml:space="preserve">אני מאמין/ה שלעיתים צריך לבחור – אי אפשר לקבל את הכול.</t>
  </si>
  <si>
    <t xml:space="preserve">אני מאמין/ה שעם יצירתיות אפשר "גם וגם" – לשלב בין מה שחשוב לי.</t>
  </si>
  <si>
    <t xml:space="preserve">אני נוטה לראות עסקה כמצב שבו צד אחד מרוויח על חשבון השני.</t>
  </si>
  <si>
    <t xml:space="preserve">אני מחפש/ת עסקאות win-win שבהן כל הצדדים מרוויחים.</t>
  </si>
  <si>
    <t xml:space="preserve">אני מודד/ת עושר לפי דברים מוחשיים: משכורת, בית, רכב.</t>
  </si>
  <si>
    <t xml:space="preserve">אני מודד/ת עושר לפי תחושה פנימית ולפי תזרים המזומנים שלי.</t>
  </si>
  <si>
    <t xml:space="preserve">5. תפקיד הכסף – שמירה מול יצירה</t>
  </si>
  <si>
    <t xml:space="preserve">כסף נועד בעיקר להישמר ולהיחסך ליום סגריר.</t>
  </si>
  <si>
    <t xml:space="preserve">אני מאמין/ה שכסף נועד לזרום, להיות מושקע ולבנות.</t>
  </si>
  <si>
    <t xml:space="preserve">אני מתמקד/ת בעיקר בשמירה על מה שכבר יש לי.</t>
  </si>
  <si>
    <t xml:space="preserve">אני מתמקד/ת ביצירת הון ותזרים חדשים.</t>
  </si>
  <si>
    <t xml:space="preserve">6. אסטרטגיה וכלים פיננסיים</t>
  </si>
  <si>
    <t xml:space="preserve">אני אוהב/ת לשחק בטוח, לשחק הגנה, ושונא/ת להפסיד או לקחת סיכונים מיותרים.</t>
  </si>
  <si>
    <t xml:space="preserve">אני מוכן/ה לקחת סיכונים מחושבים כדי לצמוח.</t>
  </si>
  <si>
    <t xml:space="preserve">אני נוטה ללכת בדרך המקובלת והבדוקה שרבים בוחרים.</t>
  </si>
  <si>
    <t xml:space="preserve">אני פועל/ת מתוך ידע ובדיקה עצמאית, גם אם זה הפוך מהרוב.</t>
  </si>
  <si>
    <t xml:space="preserve">אני מעדיף/ה לנהל בעצמי את ענייני הכסף וההשקעות שלי.</t>
  </si>
  <si>
    <t xml:space="preserve">אני נעזר/ת ביועצים ומומחים בתחומים שונים, ומשלם/ת להם ביד רחבה.</t>
  </si>
  <si>
    <t xml:space="preserve">אני מרגיש/ה בנוח להרוויח כשהשוק עולה.</t>
  </si>
  <si>
    <t xml:space="preserve">אני יודע/ת למצוא הזדמנויות גם כשהשוק יורד.</t>
  </si>
  <si>
    <t xml:space="preserve">7. אחריות, שליטה ותגמול</t>
  </si>
  <si>
    <t xml:space="preserve">ההצלחה הכלכלית שלי תלויה במנהל שלי, בשוק, ובעוד המון משתנים.</t>
  </si>
  <si>
    <t xml:space="preserve">אני מרגיש/ה שההצלחה הכלכלית שלי תלויה בעיקר בי.</t>
  </si>
  <si>
    <t xml:space="preserve">כשמשהו משתבש, אני שם/ה לב קודם לגורמים החיצוניים שהשפיעו.</t>
  </si>
  <si>
    <t xml:space="preserve">כשמשהו משתבש, אני לוקח/ת אחריות אישית על מה שקרה.</t>
  </si>
  <si>
    <t xml:space="preserve">אני מעדיף/ה את היציבות של משכורת קבועה.</t>
  </si>
  <si>
    <t xml:space="preserve">אני מעדיף/ה תגמול לפי הערך והתוצאות שאני מביא/ה.</t>
  </si>
  <si>
    <t xml:space="preserve">8. ערך עצמי וביטחון</t>
  </si>
  <si>
    <t xml:space="preserve">לפעמים אני לא לגמרי בטוח/ה ביכולת שלי להשיג תוצאות גדולות.</t>
  </si>
  <si>
    <t xml:space="preserve">אני בטוח/ה ביכולות שלי ובתוצאות שאני מסוגל/ת להשיג.</t>
  </si>
  <si>
    <t xml:space="preserve">הביטחון שלי נשען בעיקר על המקצוע והתואר שלי.</t>
  </si>
  <si>
    <t xml:space="preserve">הביטחון שלי נשען על היכולות שלי באשר הן.</t>
  </si>
  <si>
    <t xml:space="preserve">9. זהירות מול יציאה לדרך</t>
  </si>
  <si>
    <t xml:space="preserve">אני מעדיף/ה לחכות שהתנאים יהיו בשלים ובטוחים לפני שאני יוצא/ת לדרך.</t>
  </si>
  <si>
    <t xml:space="preserve">אני מתמקד/ת ביעד ויוצא/ת לדרך גם כשלא הכול מושלם.</t>
  </si>
  <si>
    <t xml:space="preserve">אני אוהב/ת לנתח לעומק את כל הפרטים לפני שאני מחליט/ה.</t>
  </si>
  <si>
    <t xml:space="preserve">הניתוח עוזר לי להבין סיכונים, להחליט – ואז לפעול.</t>
  </si>
  <si>
    <t xml:space="preserve">10. חשיבה בגדול (כמויות)</t>
  </si>
  <si>
    <t xml:space="preserve">אני מעדיף/ה לעבוד באופן אישי וממוקד, "אחד על אחד".</t>
  </si>
  <si>
    <t xml:space="preserve">אני חושב/ת בגדול ומחפש/ת להגדיל את הכמות וההשפעה.</t>
  </si>
  <si>
    <t xml:space="preserve">11. סביבה ורגשות כלפי עשירים</t>
  </si>
  <si>
    <t xml:space="preserve">אני נוטה להסתכל בעין ביקורתית על אנשים עשירים ומצליחים.</t>
  </si>
  <si>
    <t xml:space="preserve">אני מרגיש/ה הערצה והשראה כלפי אנשים עשירים ומצליחים.</t>
  </si>
  <si>
    <t xml:space="preserve">נוח לי בחברת אנשים שחושבים בדומה לי.</t>
  </si>
  <si>
    <t xml:space="preserve">אני שואף/ת להתחבר לאנשים שכבר הגיעו לאן שאני רוצה.</t>
  </si>
  <si>
    <t xml:space="preserve">12. כסף, ערכים ומשפחה</t>
  </si>
  <si>
    <t xml:space="preserve">אני מעדיף/ה לא לעסוק בכסף יותר מהנדרש, ולהתמקד בדברים אחרים.</t>
  </si>
  <si>
    <t xml:space="preserve">אני רואה בהבנה ובניהול של כסף דבר חשוב וערכי.</t>
  </si>
  <si>
    <t xml:space="preserve">אני חושש/ת שעיסוק רב בכסף יבוא על חשבון המשפחה.</t>
  </si>
  <si>
    <t xml:space="preserve">אני מאמין/ה שהתנהלות כלכלית נכונה משרתת את המשפחה ויוצרת חופש.</t>
  </si>
  <si>
    <t xml:space="preserve">אני אוהב/ת ליהנות מהדברים הטובים ומהמותרות כאן ועכשיו.</t>
  </si>
  <si>
    <t xml:space="preserve">אני מוכן/ה לוותר על מותרות עכשיו כדי לבנות חופש כלכלי.</t>
  </si>
  <si>
    <t xml:space="preserve">שורת שאלון</t>
  </si>
  <si>
    <r>
      <rPr>
        <sz val="11"/>
        <color theme="1"/>
        <rFont val="DejaVu Sans"/>
        <family val="2"/>
      </rPr>
      <t xml:space="preserve">ציון </t>
    </r>
    <r>
      <rPr>
        <sz val="11"/>
        <color theme="1"/>
        <rFont val="Calibri"/>
        <family val="2"/>
        <charset val="1"/>
      </rPr>
      <t xml:space="preserve">(1-5)</t>
    </r>
  </si>
  <si>
    <t xml:space="preserve">סיכום תוצאות לפי קטגוריה</t>
  </si>
  <si>
    <t xml:space="preserve">קטגוריה</t>
  </si>
  <si>
    <t xml:space="preserve">ממוצע</t>
  </si>
  <si>
    <t xml:space="preserve">פירוש</t>
  </si>
  <si>
    <t xml:space="preserve">ציון כולל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</si>
</sst>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2"/>
      <color rgb="FF2E5496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404040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595959"/>
      <name val="Arial"/>
      <family val="0"/>
      <charset val="1"/>
    </font>
    <font>
      <sz val="11"/>
      <color theme="1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EDEDED"/>
        <bgColor rgb="FFECECEC"/>
      </patternFill>
    </fill>
    <fill>
      <patternFill patternType="solid">
        <fgColor rgb="FFE2E2E2"/>
        <bgColor rgb="FFD9D9D9"/>
      </patternFill>
    </fill>
    <fill>
      <patternFill patternType="solid">
        <fgColor rgb="FFECECEC"/>
        <bgColor rgb="FFEDEDED"/>
      </patternFill>
    </fill>
    <fill>
      <patternFill patternType="solid">
        <fgColor rgb="FFF5F5F5"/>
        <bgColor rgb="FFEDEDED"/>
      </patternFill>
    </fill>
    <fill>
      <patternFill patternType="solid">
        <fgColor rgb="FFFFF2CC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BA7B5"/>
      </left>
      <right style="thin">
        <color rgb="FF9BA7B5"/>
      </right>
      <top style="thin">
        <color rgb="FF9BA7B5"/>
      </top>
      <bottom style="thin">
        <color rgb="FF9BA7B5"/>
      </bottom>
      <diagonal/>
    </border>
    <border diagonalUp="false" diagonalDown="false"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7F"/>
      <rgbColor rgb="FF800080"/>
      <rgbColor rgb="FF008080"/>
      <rgbColor rgb="FFC0C0C0"/>
      <rgbColor rgb="FF808080"/>
      <rgbColor rgb="FF9BA7B5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C"/>
      <rgbColor rgb="FFE2E2E2"/>
      <rgbColor rgb="FFF5F5F5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פרופיל מיינדסט לפי קטגוריה (1=עני · 5=עשיר)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תוצאות!B2</c:f>
              <c:strCache>
                <c:ptCount val="1"/>
                <c:pt idx="0">
                  <c:v>ממוצע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תוצאות!$A$3:$A$14</c:f>
              <c:strCache>
                <c:ptCount val="12"/>
                <c:pt idx="0">
                  <c:v>1. תפיסה עצמית, מקור פרנסה והשכלה</c:v>
                </c:pt>
                <c:pt idx="1">
                  <c:v>2. זמן, כסף ובניית נכסים</c:v>
                </c:pt>
                <c:pt idx="2">
                  <c:v>3. צמיחה ולמידה</c:v>
                </c:pt>
                <c:pt idx="3">
                  <c:v>4. תודעת שפע מול מחסור</c:v>
                </c:pt>
                <c:pt idx="4">
                  <c:v>5. תפקיד הכסף – שמירה מול יצירה</c:v>
                </c:pt>
                <c:pt idx="5">
                  <c:v>6. אסטרטגיה וכלים פיננסיים</c:v>
                </c:pt>
                <c:pt idx="6">
                  <c:v>7. אחריות, שליטה ותגמול</c:v>
                </c:pt>
                <c:pt idx="7">
                  <c:v>8. ערך עצמי וביטחון</c:v>
                </c:pt>
                <c:pt idx="8">
                  <c:v>9. זהירות מול יציאה לדרך</c:v>
                </c:pt>
                <c:pt idx="9">
                  <c:v>10. חשיבה בגדול (כמויות)</c:v>
                </c:pt>
                <c:pt idx="10">
                  <c:v>11. סביבה ורגשות כלפי עשירים</c:v>
                </c:pt>
                <c:pt idx="11">
                  <c:v>12. כסף, ערכים ומשפחה</c:v>
                </c:pt>
              </c:strCache>
            </c:strRef>
          </c:cat>
          <c:val>
            <c:numRef>
              <c:f>תוצאות!$B$3:$B$14</c:f>
              <c:numCache>
                <c:formatCode>General</c:formatCode>
                <c:ptCount val="12"/>
              </c:numCache>
            </c:numRef>
          </c:val>
        </c:ser>
        <c:gapWidth val="150"/>
        <c:overlap val="0"/>
        <c:axId val="81600307"/>
        <c:axId val="14153883"/>
      </c:barChart>
      <c:catAx>
        <c:axId val="816003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153883"/>
        <c:crosses val="autoZero"/>
        <c:auto val="1"/>
        <c:lblAlgn val="ctr"/>
        <c:lblOffset val="100"/>
        <c:noMultiLvlLbl val="0"/>
      </c:catAx>
      <c:valAx>
        <c:axId val="14153883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6003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מכ"ם מיינדסט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תוצאות!B2</c:f>
              <c:strCache>
                <c:ptCount val="1"/>
                <c:pt idx="0">
                  <c:v>ממוצע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תוצאות!$A$3:$A$14</c:f>
              <c:strCache>
                <c:ptCount val="12"/>
                <c:pt idx="0">
                  <c:v>1. תפיסה עצמית, מקור פרנסה והשכלה</c:v>
                </c:pt>
                <c:pt idx="1">
                  <c:v>2. זמן, כסף ובניית נכסים</c:v>
                </c:pt>
                <c:pt idx="2">
                  <c:v>3. צמיחה ולמידה</c:v>
                </c:pt>
                <c:pt idx="3">
                  <c:v>4. תודעת שפע מול מחסור</c:v>
                </c:pt>
                <c:pt idx="4">
                  <c:v>5. תפקיד הכסף – שמירה מול יצירה</c:v>
                </c:pt>
                <c:pt idx="5">
                  <c:v>6. אסטרטגיה וכלים פיננסיים</c:v>
                </c:pt>
                <c:pt idx="6">
                  <c:v>7. אחריות, שליטה ותגמול</c:v>
                </c:pt>
                <c:pt idx="7">
                  <c:v>8. ערך עצמי וביטחון</c:v>
                </c:pt>
                <c:pt idx="8">
                  <c:v>9. זהירות מול יציאה לדרך</c:v>
                </c:pt>
                <c:pt idx="9">
                  <c:v>10. חשיבה בגדול (כמויות)</c:v>
                </c:pt>
                <c:pt idx="10">
                  <c:v>11. סביבה ורגשות כלפי עשירים</c:v>
                </c:pt>
                <c:pt idx="11">
                  <c:v>12. כסף, ערכים ומשפחה</c:v>
                </c:pt>
              </c:strCache>
            </c:strRef>
          </c:cat>
          <c:val>
            <c:numRef>
              <c:f>תוצאות!$B$3:$B$14</c:f>
              <c:numCache>
                <c:formatCode>General</c:formatCode>
                <c:ptCount val="12"/>
              </c:numCache>
            </c:numRef>
          </c:val>
        </c:ser>
        <c:axId val="70580965"/>
        <c:axId val="55112862"/>
      </c:radarChart>
      <c:catAx>
        <c:axId val="7058096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112862"/>
        <c:crosses val="autoZero"/>
        <c:auto val="1"/>
        <c:lblAlgn val="ctr"/>
        <c:lblOffset val="100"/>
        <c:noMultiLvlLbl val="0"/>
      </c:catAx>
      <c:valAx>
        <c:axId val="55112862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58096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-78480</xdr:colOff>
      <xdr:row>1</xdr:row>
      <xdr:rowOff>0</xdr:rowOff>
    </xdr:from>
    <xdr:to>
      <xdr:col>18</xdr:col>
      <xdr:colOff>0</xdr:colOff>
      <xdr:row>20</xdr:row>
      <xdr:rowOff>128880</xdr:rowOff>
    </xdr:to>
    <xdr:graphicFrame>
      <xdr:nvGraphicFramePr>
        <xdr:cNvPr id="1" name="Chart 1"/>
        <xdr:cNvGraphicFramePr/>
      </xdr:nvGraphicFramePr>
      <xdr:xfrm>
        <a:off x="-14608080" y="30492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-147600</xdr:colOff>
      <xdr:row>25</xdr:row>
      <xdr:rowOff>0</xdr:rowOff>
    </xdr:from>
    <xdr:to>
      <xdr:col>12</xdr:col>
      <xdr:colOff>0</xdr:colOff>
      <xdr:row>47</xdr:row>
      <xdr:rowOff>128520</xdr:rowOff>
    </xdr:to>
    <xdr:graphicFrame>
      <xdr:nvGraphicFramePr>
        <xdr:cNvPr id="2" name="Chart 2"/>
        <xdr:cNvGraphicFramePr/>
      </xdr:nvGraphicFramePr>
      <xdr:xfrm>
        <a:off x="-11008080" y="544824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26.85" hidden="false" customHeight="false" outlineLevel="0" collapsed="false">
      <c r="B6" s="4" t="s">
        <v>3</v>
      </c>
    </row>
    <row r="7" customFormat="false" ht="26.85" hidden="false" customHeight="false" outlineLevel="0" collapsed="false">
      <c r="B7" s="4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4" t="s">
        <v>6</v>
      </c>
    </row>
    <row r="11" customFormat="false" ht="16.15" hidden="false" customHeight="false" outlineLevel="0" collapsed="false">
      <c r="B11" s="3" t="s">
        <v>7</v>
      </c>
    </row>
    <row r="12" customFormat="false" ht="26.8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5" customFormat="false" ht="15" hidden="false" customHeight="false" outlineLevel="0" collapsed="false">
      <c r="B15" s="6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6"/>
    <col collapsed="false" customWidth="true" hidden="false" outlineLevel="0" max="7" min="7" style="0" width="50"/>
  </cols>
  <sheetData>
    <row r="1" customFormat="false" ht="25.5" hidden="false" customHeight="true" outlineLevel="0" collapsed="false">
      <c r="A1" s="7" t="s">
        <v>11</v>
      </c>
      <c r="B1" s="7"/>
      <c r="C1" s="7"/>
      <c r="D1" s="7"/>
      <c r="E1" s="7"/>
      <c r="F1" s="7"/>
      <c r="G1" s="7"/>
    </row>
    <row r="2" customFormat="false" ht="19.5" hidden="false" customHeight="true" outlineLevel="0" collapsed="false">
      <c r="A2" s="8" t="s">
        <v>12</v>
      </c>
      <c r="B2" s="8"/>
      <c r="C2" s="8"/>
      <c r="D2" s="8"/>
      <c r="E2" s="8"/>
      <c r="F2" s="8"/>
      <c r="G2" s="8"/>
    </row>
    <row r="3" customFormat="false" ht="27.75" hidden="false" customHeight="true" outlineLevel="0" collapsed="false">
      <c r="A3" s="9" t="s">
        <v>13</v>
      </c>
      <c r="B3" s="10" t="s">
        <v>14</v>
      </c>
      <c r="C3" s="11" t="s">
        <v>14</v>
      </c>
      <c r="D3" s="12" t="s">
        <v>14</v>
      </c>
      <c r="E3" s="11" t="s">
        <v>14</v>
      </c>
      <c r="F3" s="10" t="s">
        <v>14</v>
      </c>
      <c r="G3" s="9" t="s">
        <v>15</v>
      </c>
    </row>
    <row r="4" customFormat="false" ht="19.5" hidden="false" customHeight="true" outlineLevel="0" collapsed="false">
      <c r="A4" s="13" t="s">
        <v>16</v>
      </c>
      <c r="B4" s="13"/>
      <c r="C4" s="13"/>
      <c r="D4" s="13"/>
      <c r="E4" s="13"/>
      <c r="F4" s="13"/>
      <c r="G4" s="13"/>
    </row>
    <row r="5" customFormat="false" ht="43.5" hidden="false" customHeight="true" outlineLevel="0" collapsed="false">
      <c r="A5" s="14" t="s">
        <v>17</v>
      </c>
      <c r="B5" s="15"/>
      <c r="C5" s="16"/>
      <c r="D5" s="17"/>
      <c r="E5" s="16"/>
      <c r="F5" s="15"/>
      <c r="G5" s="14" t="s">
        <v>18</v>
      </c>
    </row>
    <row r="6" customFormat="false" ht="43.5" hidden="false" customHeight="true" outlineLevel="0" collapsed="false">
      <c r="A6" s="14" t="s">
        <v>19</v>
      </c>
      <c r="B6" s="15"/>
      <c r="C6" s="16"/>
      <c r="D6" s="17"/>
      <c r="E6" s="16"/>
      <c r="F6" s="15"/>
      <c r="G6" s="14" t="s">
        <v>20</v>
      </c>
    </row>
    <row r="7" customFormat="false" ht="43.5" hidden="false" customHeight="true" outlineLevel="0" collapsed="false">
      <c r="A7" s="14" t="s">
        <v>21</v>
      </c>
      <c r="B7" s="15"/>
      <c r="C7" s="16"/>
      <c r="D7" s="17"/>
      <c r="E7" s="16"/>
      <c r="F7" s="15"/>
      <c r="G7" s="14" t="s">
        <v>22</v>
      </c>
    </row>
    <row r="8" customFormat="false" ht="43.5" hidden="false" customHeight="true" outlineLevel="0" collapsed="false">
      <c r="A8" s="14" t="s">
        <v>23</v>
      </c>
      <c r="B8" s="15"/>
      <c r="C8" s="16"/>
      <c r="D8" s="17"/>
      <c r="E8" s="16"/>
      <c r="F8" s="15"/>
      <c r="G8" s="14" t="s">
        <v>24</v>
      </c>
    </row>
    <row r="9" customFormat="false" ht="19.5" hidden="false" customHeight="true" outlineLevel="0" collapsed="false">
      <c r="A9" s="13" t="s">
        <v>25</v>
      </c>
      <c r="B9" s="13"/>
      <c r="C9" s="13"/>
      <c r="D9" s="13"/>
      <c r="E9" s="13"/>
      <c r="F9" s="13"/>
      <c r="G9" s="13"/>
    </row>
    <row r="10" customFormat="false" ht="43.5" hidden="false" customHeight="true" outlineLevel="0" collapsed="false">
      <c r="A10" s="14" t="s">
        <v>26</v>
      </c>
      <c r="B10" s="15"/>
      <c r="C10" s="16"/>
      <c r="D10" s="17"/>
      <c r="E10" s="16"/>
      <c r="F10" s="15"/>
      <c r="G10" s="14" t="s">
        <v>27</v>
      </c>
    </row>
    <row r="11" customFormat="false" ht="43.5" hidden="false" customHeight="true" outlineLevel="0" collapsed="false">
      <c r="A11" s="14" t="s">
        <v>28</v>
      </c>
      <c r="B11" s="15"/>
      <c r="C11" s="16"/>
      <c r="D11" s="17"/>
      <c r="E11" s="16"/>
      <c r="F11" s="15"/>
      <c r="G11" s="14" t="s">
        <v>29</v>
      </c>
    </row>
    <row r="12" customFormat="false" ht="43.5" hidden="false" customHeight="true" outlineLevel="0" collapsed="false">
      <c r="A12" s="14" t="s">
        <v>30</v>
      </c>
      <c r="B12" s="15"/>
      <c r="C12" s="16"/>
      <c r="D12" s="17"/>
      <c r="E12" s="16"/>
      <c r="F12" s="15"/>
      <c r="G12" s="14" t="s">
        <v>31</v>
      </c>
    </row>
    <row r="13" customFormat="false" ht="43.5" hidden="false" customHeight="true" outlineLevel="0" collapsed="false">
      <c r="A13" s="14" t="s">
        <v>32</v>
      </c>
      <c r="B13" s="15"/>
      <c r="C13" s="16"/>
      <c r="D13" s="17"/>
      <c r="E13" s="16"/>
      <c r="F13" s="15"/>
      <c r="G13" s="14" t="s">
        <v>33</v>
      </c>
    </row>
    <row r="14" customFormat="false" ht="19.5" hidden="false" customHeight="true" outlineLevel="0" collapsed="false">
      <c r="A14" s="13" t="s">
        <v>34</v>
      </c>
      <c r="B14" s="13"/>
      <c r="C14" s="13"/>
      <c r="D14" s="13"/>
      <c r="E14" s="13"/>
      <c r="F14" s="13"/>
      <c r="G14" s="13"/>
    </row>
    <row r="15" customFormat="false" ht="43.5" hidden="false" customHeight="true" outlineLevel="0" collapsed="false">
      <c r="A15" s="14" t="s">
        <v>35</v>
      </c>
      <c r="B15" s="15"/>
      <c r="C15" s="16"/>
      <c r="D15" s="17"/>
      <c r="E15" s="16"/>
      <c r="F15" s="15"/>
      <c r="G15" s="14" t="s">
        <v>36</v>
      </c>
    </row>
    <row r="16" customFormat="false" ht="43.5" hidden="false" customHeight="true" outlineLevel="0" collapsed="false">
      <c r="A16" s="14" t="s">
        <v>37</v>
      </c>
      <c r="B16" s="15"/>
      <c r="C16" s="16"/>
      <c r="D16" s="17"/>
      <c r="E16" s="16"/>
      <c r="F16" s="15"/>
      <c r="G16" s="14" t="s">
        <v>38</v>
      </c>
    </row>
    <row r="17" customFormat="false" ht="43.5" hidden="false" customHeight="true" outlineLevel="0" collapsed="false">
      <c r="A17" s="14" t="s">
        <v>39</v>
      </c>
      <c r="B17" s="15"/>
      <c r="C17" s="16"/>
      <c r="D17" s="17"/>
      <c r="E17" s="16"/>
      <c r="F17" s="15"/>
      <c r="G17" s="14" t="s">
        <v>40</v>
      </c>
    </row>
    <row r="18" customFormat="false" ht="19.5" hidden="false" customHeight="true" outlineLevel="0" collapsed="false">
      <c r="A18" s="13" t="s">
        <v>41</v>
      </c>
      <c r="B18" s="13"/>
      <c r="C18" s="13"/>
      <c r="D18" s="13"/>
      <c r="E18" s="13"/>
      <c r="F18" s="13"/>
      <c r="G18" s="13"/>
    </row>
    <row r="19" customFormat="false" ht="43.5" hidden="false" customHeight="true" outlineLevel="0" collapsed="false">
      <c r="A19" s="14" t="s">
        <v>42</v>
      </c>
      <c r="B19" s="15"/>
      <c r="C19" s="16"/>
      <c r="D19" s="17"/>
      <c r="E19" s="16"/>
      <c r="F19" s="15"/>
      <c r="G19" s="14" t="s">
        <v>43</v>
      </c>
    </row>
    <row r="20" customFormat="false" ht="43.5" hidden="false" customHeight="true" outlineLevel="0" collapsed="false">
      <c r="A20" s="14" t="s">
        <v>44</v>
      </c>
      <c r="B20" s="15"/>
      <c r="C20" s="16"/>
      <c r="D20" s="17"/>
      <c r="E20" s="16"/>
      <c r="F20" s="15"/>
      <c r="G20" s="14" t="s">
        <v>45</v>
      </c>
    </row>
    <row r="21" customFormat="false" ht="43.5" hidden="false" customHeight="true" outlineLevel="0" collapsed="false">
      <c r="A21" s="14" t="s">
        <v>46</v>
      </c>
      <c r="B21" s="15"/>
      <c r="C21" s="16"/>
      <c r="D21" s="17"/>
      <c r="E21" s="16"/>
      <c r="F21" s="15"/>
      <c r="G21" s="14" t="s">
        <v>47</v>
      </c>
    </row>
    <row r="22" customFormat="false" ht="43.5" hidden="false" customHeight="true" outlineLevel="0" collapsed="false">
      <c r="A22" s="14" t="s">
        <v>48</v>
      </c>
      <c r="B22" s="15"/>
      <c r="C22" s="16"/>
      <c r="D22" s="17"/>
      <c r="E22" s="16"/>
      <c r="F22" s="15"/>
      <c r="G22" s="14" t="s">
        <v>49</v>
      </c>
    </row>
    <row r="23" customFormat="false" ht="43.5" hidden="false" customHeight="true" outlineLevel="0" collapsed="false">
      <c r="A23" s="14" t="s">
        <v>50</v>
      </c>
      <c r="B23" s="15"/>
      <c r="C23" s="16"/>
      <c r="D23" s="17"/>
      <c r="E23" s="16"/>
      <c r="F23" s="15"/>
      <c r="G23" s="14" t="s">
        <v>51</v>
      </c>
    </row>
    <row r="24" customFormat="false" ht="43.5" hidden="false" customHeight="true" outlineLevel="0" collapsed="false">
      <c r="A24" s="14" t="s">
        <v>52</v>
      </c>
      <c r="B24" s="15"/>
      <c r="C24" s="16"/>
      <c r="D24" s="17"/>
      <c r="E24" s="16"/>
      <c r="F24" s="15"/>
      <c r="G24" s="14" t="s">
        <v>53</v>
      </c>
    </row>
    <row r="25" customFormat="false" ht="19.5" hidden="false" customHeight="true" outlineLevel="0" collapsed="false">
      <c r="A25" s="13" t="s">
        <v>54</v>
      </c>
      <c r="B25" s="13"/>
      <c r="C25" s="13"/>
      <c r="D25" s="13"/>
      <c r="E25" s="13"/>
      <c r="F25" s="13"/>
      <c r="G25" s="13"/>
    </row>
    <row r="26" customFormat="false" ht="43.5" hidden="false" customHeight="true" outlineLevel="0" collapsed="false">
      <c r="A26" s="14" t="s">
        <v>55</v>
      </c>
      <c r="B26" s="15"/>
      <c r="C26" s="16"/>
      <c r="D26" s="17"/>
      <c r="E26" s="16"/>
      <c r="F26" s="15"/>
      <c r="G26" s="14" t="s">
        <v>56</v>
      </c>
    </row>
    <row r="27" customFormat="false" ht="43.5" hidden="false" customHeight="true" outlineLevel="0" collapsed="false">
      <c r="A27" s="14" t="s">
        <v>57</v>
      </c>
      <c r="B27" s="15"/>
      <c r="C27" s="16"/>
      <c r="D27" s="17"/>
      <c r="E27" s="16"/>
      <c r="F27" s="15"/>
      <c r="G27" s="14" t="s">
        <v>58</v>
      </c>
    </row>
    <row r="28" customFormat="false" ht="19.5" hidden="false" customHeight="true" outlineLevel="0" collapsed="false">
      <c r="A28" s="13" t="s">
        <v>59</v>
      </c>
      <c r="B28" s="13"/>
      <c r="C28" s="13"/>
      <c r="D28" s="13"/>
      <c r="E28" s="13"/>
      <c r="F28" s="13"/>
      <c r="G28" s="13"/>
    </row>
    <row r="29" customFormat="false" ht="43.5" hidden="false" customHeight="true" outlineLevel="0" collapsed="false">
      <c r="A29" s="14" t="s">
        <v>60</v>
      </c>
      <c r="B29" s="15"/>
      <c r="C29" s="16"/>
      <c r="D29" s="17"/>
      <c r="E29" s="16"/>
      <c r="F29" s="15"/>
      <c r="G29" s="14" t="s">
        <v>61</v>
      </c>
    </row>
    <row r="30" customFormat="false" ht="43.5" hidden="false" customHeight="true" outlineLevel="0" collapsed="false">
      <c r="A30" s="14" t="s">
        <v>62</v>
      </c>
      <c r="B30" s="15"/>
      <c r="C30" s="16"/>
      <c r="D30" s="17"/>
      <c r="E30" s="16"/>
      <c r="F30" s="15"/>
      <c r="G30" s="14" t="s">
        <v>63</v>
      </c>
    </row>
    <row r="31" customFormat="false" ht="43.5" hidden="false" customHeight="true" outlineLevel="0" collapsed="false">
      <c r="A31" s="14" t="s">
        <v>64</v>
      </c>
      <c r="B31" s="15"/>
      <c r="C31" s="16"/>
      <c r="D31" s="17"/>
      <c r="E31" s="16"/>
      <c r="F31" s="15"/>
      <c r="G31" s="14" t="s">
        <v>65</v>
      </c>
    </row>
    <row r="32" customFormat="false" ht="43.5" hidden="false" customHeight="true" outlineLevel="0" collapsed="false">
      <c r="A32" s="14" t="s">
        <v>66</v>
      </c>
      <c r="B32" s="15"/>
      <c r="C32" s="16"/>
      <c r="D32" s="17"/>
      <c r="E32" s="16"/>
      <c r="F32" s="15"/>
      <c r="G32" s="14" t="s">
        <v>67</v>
      </c>
    </row>
    <row r="33" customFormat="false" ht="19.5" hidden="false" customHeight="true" outlineLevel="0" collapsed="false">
      <c r="A33" s="13" t="s">
        <v>68</v>
      </c>
      <c r="B33" s="13"/>
      <c r="C33" s="13"/>
      <c r="D33" s="13"/>
      <c r="E33" s="13"/>
      <c r="F33" s="13"/>
      <c r="G33" s="13"/>
    </row>
    <row r="34" customFormat="false" ht="43.5" hidden="false" customHeight="true" outlineLevel="0" collapsed="false">
      <c r="A34" s="14" t="s">
        <v>69</v>
      </c>
      <c r="B34" s="15"/>
      <c r="C34" s="16"/>
      <c r="D34" s="17"/>
      <c r="E34" s="16"/>
      <c r="F34" s="15"/>
      <c r="G34" s="14" t="s">
        <v>70</v>
      </c>
    </row>
    <row r="35" customFormat="false" ht="43.5" hidden="false" customHeight="true" outlineLevel="0" collapsed="false">
      <c r="A35" s="14" t="s">
        <v>71</v>
      </c>
      <c r="B35" s="15"/>
      <c r="C35" s="16"/>
      <c r="D35" s="17"/>
      <c r="E35" s="16"/>
      <c r="F35" s="15"/>
      <c r="G35" s="14" t="s">
        <v>72</v>
      </c>
    </row>
    <row r="36" customFormat="false" ht="43.5" hidden="false" customHeight="true" outlineLevel="0" collapsed="false">
      <c r="A36" s="14" t="s">
        <v>73</v>
      </c>
      <c r="B36" s="15"/>
      <c r="C36" s="16"/>
      <c r="D36" s="17"/>
      <c r="E36" s="16"/>
      <c r="F36" s="15"/>
      <c r="G36" s="14" t="s">
        <v>74</v>
      </c>
    </row>
    <row r="37" customFormat="false" ht="19.5" hidden="false" customHeight="true" outlineLevel="0" collapsed="false">
      <c r="A37" s="13" t="s">
        <v>75</v>
      </c>
      <c r="B37" s="13"/>
      <c r="C37" s="13"/>
      <c r="D37" s="13"/>
      <c r="E37" s="13"/>
      <c r="F37" s="13"/>
      <c r="G37" s="13"/>
    </row>
    <row r="38" customFormat="false" ht="43.5" hidden="false" customHeight="true" outlineLevel="0" collapsed="false">
      <c r="A38" s="14" t="s">
        <v>76</v>
      </c>
      <c r="B38" s="15"/>
      <c r="C38" s="16"/>
      <c r="D38" s="17"/>
      <c r="E38" s="16"/>
      <c r="F38" s="15"/>
      <c r="G38" s="14" t="s">
        <v>77</v>
      </c>
    </row>
    <row r="39" customFormat="false" ht="43.5" hidden="false" customHeight="true" outlineLevel="0" collapsed="false">
      <c r="A39" s="14" t="s">
        <v>78</v>
      </c>
      <c r="B39" s="15"/>
      <c r="C39" s="16"/>
      <c r="D39" s="17"/>
      <c r="E39" s="16"/>
      <c r="F39" s="15"/>
      <c r="G39" s="14" t="s">
        <v>79</v>
      </c>
    </row>
    <row r="40" customFormat="false" ht="19.5" hidden="false" customHeight="true" outlineLevel="0" collapsed="false">
      <c r="A40" s="13" t="s">
        <v>80</v>
      </c>
      <c r="B40" s="13"/>
      <c r="C40" s="13"/>
      <c r="D40" s="13"/>
      <c r="E40" s="13"/>
      <c r="F40" s="13"/>
      <c r="G40" s="13"/>
    </row>
    <row r="41" customFormat="false" ht="43.5" hidden="false" customHeight="true" outlineLevel="0" collapsed="false">
      <c r="A41" s="14" t="s">
        <v>81</v>
      </c>
      <c r="B41" s="15"/>
      <c r="C41" s="16"/>
      <c r="D41" s="17"/>
      <c r="E41" s="16"/>
      <c r="F41" s="15"/>
      <c r="G41" s="14" t="s">
        <v>82</v>
      </c>
    </row>
    <row r="42" customFormat="false" ht="43.5" hidden="false" customHeight="true" outlineLevel="0" collapsed="false">
      <c r="A42" s="14" t="s">
        <v>83</v>
      </c>
      <c r="B42" s="15"/>
      <c r="C42" s="16"/>
      <c r="D42" s="17"/>
      <c r="E42" s="16"/>
      <c r="F42" s="15"/>
      <c r="G42" s="14" t="s">
        <v>84</v>
      </c>
    </row>
    <row r="43" customFormat="false" ht="19.5" hidden="false" customHeight="true" outlineLevel="0" collapsed="false">
      <c r="A43" s="13" t="s">
        <v>85</v>
      </c>
      <c r="B43" s="13"/>
      <c r="C43" s="13"/>
      <c r="D43" s="13"/>
      <c r="E43" s="13"/>
      <c r="F43" s="13"/>
      <c r="G43" s="13"/>
    </row>
    <row r="44" customFormat="false" ht="43.5" hidden="false" customHeight="true" outlineLevel="0" collapsed="false">
      <c r="A44" s="14" t="s">
        <v>86</v>
      </c>
      <c r="B44" s="15"/>
      <c r="C44" s="16"/>
      <c r="D44" s="17"/>
      <c r="E44" s="16"/>
      <c r="F44" s="15"/>
      <c r="G44" s="14" t="s">
        <v>87</v>
      </c>
    </row>
    <row r="45" customFormat="false" ht="19.5" hidden="false" customHeight="true" outlineLevel="0" collapsed="false">
      <c r="A45" s="13" t="s">
        <v>88</v>
      </c>
      <c r="B45" s="13"/>
      <c r="C45" s="13"/>
      <c r="D45" s="13"/>
      <c r="E45" s="13"/>
      <c r="F45" s="13"/>
      <c r="G45" s="13"/>
    </row>
    <row r="46" customFormat="false" ht="43.5" hidden="false" customHeight="true" outlineLevel="0" collapsed="false">
      <c r="A46" s="14" t="s">
        <v>89</v>
      </c>
      <c r="B46" s="15"/>
      <c r="C46" s="16"/>
      <c r="D46" s="17"/>
      <c r="E46" s="16"/>
      <c r="F46" s="15"/>
      <c r="G46" s="14" t="s">
        <v>90</v>
      </c>
    </row>
    <row r="47" customFormat="false" ht="43.5" hidden="false" customHeight="true" outlineLevel="0" collapsed="false">
      <c r="A47" s="14" t="s">
        <v>91</v>
      </c>
      <c r="B47" s="15"/>
      <c r="C47" s="16"/>
      <c r="D47" s="17"/>
      <c r="E47" s="16"/>
      <c r="F47" s="15"/>
      <c r="G47" s="14" t="s">
        <v>92</v>
      </c>
    </row>
    <row r="48" customFormat="false" ht="19.5" hidden="false" customHeight="true" outlineLevel="0" collapsed="false">
      <c r="A48" s="13" t="s">
        <v>93</v>
      </c>
      <c r="B48" s="13"/>
      <c r="C48" s="13"/>
      <c r="D48" s="13"/>
      <c r="E48" s="13"/>
      <c r="F48" s="13"/>
      <c r="G48" s="13"/>
    </row>
    <row r="49" customFormat="false" ht="43.5" hidden="false" customHeight="true" outlineLevel="0" collapsed="false">
      <c r="A49" s="14" t="s">
        <v>94</v>
      </c>
      <c r="B49" s="15"/>
      <c r="C49" s="16"/>
      <c r="D49" s="17"/>
      <c r="E49" s="16"/>
      <c r="F49" s="15"/>
      <c r="G49" s="14" t="s">
        <v>95</v>
      </c>
    </row>
    <row r="50" customFormat="false" ht="43.5" hidden="false" customHeight="true" outlineLevel="0" collapsed="false">
      <c r="A50" s="14" t="s">
        <v>96</v>
      </c>
      <c r="B50" s="15"/>
      <c r="C50" s="16"/>
      <c r="D50" s="17"/>
      <c r="E50" s="16"/>
      <c r="F50" s="15"/>
      <c r="G50" s="14" t="s">
        <v>97</v>
      </c>
    </row>
    <row r="51" customFormat="false" ht="43.5" hidden="false" customHeight="true" outlineLevel="0" collapsed="false">
      <c r="A51" s="14" t="s">
        <v>98</v>
      </c>
      <c r="B51" s="15"/>
      <c r="C51" s="16"/>
      <c r="D51" s="17"/>
      <c r="E51" s="16"/>
      <c r="F51" s="15"/>
      <c r="G51" s="14" t="s">
        <v>99</v>
      </c>
    </row>
  </sheetData>
  <mergeCells count="14">
    <mergeCell ref="A1:G1"/>
    <mergeCell ref="A2:G2"/>
    <mergeCell ref="A4:G4"/>
    <mergeCell ref="A9:G9"/>
    <mergeCell ref="A14:G14"/>
    <mergeCell ref="A18:G18"/>
    <mergeCell ref="A25:G25"/>
    <mergeCell ref="A28:G28"/>
    <mergeCell ref="A33:G33"/>
    <mergeCell ref="A37:G37"/>
    <mergeCell ref="A40:G40"/>
    <mergeCell ref="A43:G43"/>
    <mergeCell ref="A45:G45"/>
    <mergeCell ref="A48:G48"/>
  </mergeCells>
  <dataValidations count="1">
    <dataValidation allowBlank="true" error="בחרו ✗ מהרשימה (או השאירו ריק)" errorStyle="stop" errorTitle="סימון" operator="between" prompt="בחרו ✗ לסימון המשבצת" promptTitle="סימון" showDropDown="false" showErrorMessage="true" showInputMessage="false" sqref="B5:F8 B10:F13 B15:F17 B19:F24 B26:F27 B29:F32 B34:F36 B38:F39 B41:F42 B44:F44 B46:F47 B49:F51" type="list">
      <formula1>"✗"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8" t="s">
        <v>100</v>
      </c>
      <c r="B1" s="18" t="s">
        <v>101</v>
      </c>
    </row>
    <row r="2" customFormat="false" ht="15" hidden="false" customHeight="false" outlineLevel="0" collapsed="false">
      <c r="A2" s="0" t="n">
        <v>5</v>
      </c>
      <c r="B2" s="0" t="str">
        <f aca="false">IF(COUNTA(שאלון!B5:F5)=0,"",1*(שאלון!B5&lt;&gt;"")+2*(שאלון!C5&lt;&gt;"")+3*(שאלון!D5&lt;&gt;"")+4*(שאלון!E5&lt;&gt;"")+5*(שאלון!F5&lt;&gt;""))</f>
        <v/>
      </c>
    </row>
    <row r="3" customFormat="false" ht="15" hidden="false" customHeight="false" outlineLevel="0" collapsed="false">
      <c r="A3" s="0" t="n">
        <v>6</v>
      </c>
      <c r="B3" s="0" t="str">
        <f aca="false">IF(COUNTA(שאלון!B6:F6)=0,"",1*(שאלון!B6&lt;&gt;"")+2*(שאלון!C6&lt;&gt;"")+3*(שאלון!D6&lt;&gt;"")+4*(שאלון!E6&lt;&gt;"")+5*(שאלון!F6&lt;&gt;""))</f>
        <v/>
      </c>
    </row>
    <row r="4" customFormat="false" ht="15" hidden="false" customHeight="false" outlineLevel="0" collapsed="false">
      <c r="A4" s="0" t="n">
        <v>7</v>
      </c>
      <c r="B4" s="0" t="str">
        <f aca="false">IF(COUNTA(שאלון!B7:F7)=0,"",1*(שאלון!B7&lt;&gt;"")+2*(שאלון!C7&lt;&gt;"")+3*(שאלון!D7&lt;&gt;"")+4*(שאלון!E7&lt;&gt;"")+5*(שאלון!F7&lt;&gt;""))</f>
        <v/>
      </c>
    </row>
    <row r="5" customFormat="false" ht="15" hidden="false" customHeight="false" outlineLevel="0" collapsed="false">
      <c r="A5" s="0" t="n">
        <v>8</v>
      </c>
      <c r="B5" s="0" t="str">
        <f aca="false">IF(COUNTA(שאלון!B8:F8)=0,"",1*(שאלון!B8&lt;&gt;"")+2*(שאלון!C8&lt;&gt;"")+3*(שאלון!D8&lt;&gt;"")+4*(שאלון!E8&lt;&gt;"")+5*(שאלון!F8&lt;&gt;""))</f>
        <v/>
      </c>
    </row>
    <row r="6" customFormat="false" ht="15" hidden="false" customHeight="false" outlineLevel="0" collapsed="false">
      <c r="A6" s="0" t="n">
        <v>10</v>
      </c>
      <c r="B6" s="0" t="str">
        <f aca="false">IF(COUNTA(שאלון!B10:F10)=0,"",1*(שאלון!B10&lt;&gt;"")+2*(שאלון!C10&lt;&gt;"")+3*(שאלון!D10&lt;&gt;"")+4*(שאלון!E10&lt;&gt;"")+5*(שאלון!F10&lt;&gt;""))</f>
        <v/>
      </c>
    </row>
    <row r="7" customFormat="false" ht="15" hidden="false" customHeight="false" outlineLevel="0" collapsed="false">
      <c r="A7" s="0" t="n">
        <v>11</v>
      </c>
      <c r="B7" s="0" t="str">
        <f aca="false">IF(COUNTA(שאלון!B11:F11)=0,"",1*(שאלון!B11&lt;&gt;"")+2*(שאלון!C11&lt;&gt;"")+3*(שאלון!D11&lt;&gt;"")+4*(שאלון!E11&lt;&gt;"")+5*(שאלון!F11&lt;&gt;""))</f>
        <v/>
      </c>
    </row>
    <row r="8" customFormat="false" ht="15" hidden="false" customHeight="false" outlineLevel="0" collapsed="false">
      <c r="A8" s="0" t="n">
        <v>12</v>
      </c>
      <c r="B8" s="0" t="str">
        <f aca="false">IF(COUNTA(שאלון!B12:F12)=0,"",1*(שאלון!B12&lt;&gt;"")+2*(שאלון!C12&lt;&gt;"")+3*(שאלון!D12&lt;&gt;"")+4*(שאלון!E12&lt;&gt;"")+5*(שאלון!F12&lt;&gt;""))</f>
        <v/>
      </c>
    </row>
    <row r="9" customFormat="false" ht="15" hidden="false" customHeight="false" outlineLevel="0" collapsed="false">
      <c r="A9" s="0" t="n">
        <v>13</v>
      </c>
      <c r="B9" s="0" t="str">
        <f aca="false">IF(COUNTA(שאלון!B13:F13)=0,"",1*(שאלון!B13&lt;&gt;"")+2*(שאלון!C13&lt;&gt;"")+3*(שאלון!D13&lt;&gt;"")+4*(שאלון!E13&lt;&gt;"")+5*(שאלון!F13&lt;&gt;""))</f>
        <v/>
      </c>
    </row>
    <row r="10" customFormat="false" ht="15" hidden="false" customHeight="false" outlineLevel="0" collapsed="false">
      <c r="A10" s="0" t="n">
        <v>15</v>
      </c>
      <c r="B10" s="0" t="str">
        <f aca="false">IF(COUNTA(שאלון!B15:F15)=0,"",1*(שאלון!B15&lt;&gt;"")+2*(שאלון!C15&lt;&gt;"")+3*(שאלון!D15&lt;&gt;"")+4*(שאלון!E15&lt;&gt;"")+5*(שאלון!F15&lt;&gt;""))</f>
        <v/>
      </c>
    </row>
    <row r="11" customFormat="false" ht="15" hidden="false" customHeight="false" outlineLevel="0" collapsed="false">
      <c r="A11" s="0" t="n">
        <v>16</v>
      </c>
      <c r="B11" s="0" t="str">
        <f aca="false">IF(COUNTA(שאלון!B16:F16)=0,"",1*(שאלון!B16&lt;&gt;"")+2*(שאלון!C16&lt;&gt;"")+3*(שאלון!D16&lt;&gt;"")+4*(שאלון!E16&lt;&gt;"")+5*(שאלון!F16&lt;&gt;""))</f>
        <v/>
      </c>
    </row>
    <row r="12" customFormat="false" ht="15" hidden="false" customHeight="false" outlineLevel="0" collapsed="false">
      <c r="A12" s="0" t="n">
        <v>17</v>
      </c>
      <c r="B12" s="0" t="str">
        <f aca="false">IF(COUNTA(שאלון!B17:F17)=0,"",1*(שאלון!B17&lt;&gt;"")+2*(שאלון!C17&lt;&gt;"")+3*(שאלון!D17&lt;&gt;"")+4*(שאלון!E17&lt;&gt;"")+5*(שאלון!F17&lt;&gt;""))</f>
        <v/>
      </c>
    </row>
    <row r="13" customFormat="false" ht="15" hidden="false" customHeight="false" outlineLevel="0" collapsed="false">
      <c r="A13" s="0" t="n">
        <v>19</v>
      </c>
      <c r="B13" s="0" t="str">
        <f aca="false">IF(COUNTA(שאלון!B19:F19)=0,"",1*(שאלון!B19&lt;&gt;"")+2*(שאלון!C19&lt;&gt;"")+3*(שאלון!D19&lt;&gt;"")+4*(שאלון!E19&lt;&gt;"")+5*(שאלון!F19&lt;&gt;""))</f>
        <v/>
      </c>
    </row>
    <row r="14" customFormat="false" ht="15" hidden="false" customHeight="false" outlineLevel="0" collapsed="false">
      <c r="A14" s="0" t="n">
        <v>20</v>
      </c>
      <c r="B14" s="0" t="str">
        <f aca="false">IF(COUNTA(שאלון!B20:F20)=0,"",1*(שאלון!B20&lt;&gt;"")+2*(שאלון!C20&lt;&gt;"")+3*(שאלון!D20&lt;&gt;"")+4*(שאלון!E20&lt;&gt;"")+5*(שאלון!F20&lt;&gt;""))</f>
        <v/>
      </c>
    </row>
    <row r="15" customFormat="false" ht="15" hidden="false" customHeight="false" outlineLevel="0" collapsed="false">
      <c r="A15" s="0" t="n">
        <v>21</v>
      </c>
      <c r="B15" s="0" t="str">
        <f aca="false">IF(COUNTA(שאלון!B21:F21)=0,"",1*(שאלון!B21&lt;&gt;"")+2*(שאלון!C21&lt;&gt;"")+3*(שאלון!D21&lt;&gt;"")+4*(שאלון!E21&lt;&gt;"")+5*(שאלון!F21&lt;&gt;""))</f>
        <v/>
      </c>
    </row>
    <row r="16" customFormat="false" ht="15" hidden="false" customHeight="false" outlineLevel="0" collapsed="false">
      <c r="A16" s="0" t="n">
        <v>22</v>
      </c>
      <c r="B16" s="0" t="str">
        <f aca="false">IF(COUNTA(שאלון!B22:F22)=0,"",1*(שאלון!B22&lt;&gt;"")+2*(שאלון!C22&lt;&gt;"")+3*(שאלון!D22&lt;&gt;"")+4*(שאלון!E22&lt;&gt;"")+5*(שאלון!F22&lt;&gt;""))</f>
        <v/>
      </c>
    </row>
    <row r="17" customFormat="false" ht="15" hidden="false" customHeight="false" outlineLevel="0" collapsed="false">
      <c r="A17" s="0" t="n">
        <v>23</v>
      </c>
      <c r="B17" s="0" t="str">
        <f aca="false">IF(COUNTA(שאלון!B23:F23)=0,"",1*(שאלון!B23&lt;&gt;"")+2*(שאלון!C23&lt;&gt;"")+3*(שאלון!D23&lt;&gt;"")+4*(שאלון!E23&lt;&gt;"")+5*(שאלון!F23&lt;&gt;""))</f>
        <v/>
      </c>
    </row>
    <row r="18" customFormat="false" ht="15" hidden="false" customHeight="false" outlineLevel="0" collapsed="false">
      <c r="A18" s="0" t="n">
        <v>24</v>
      </c>
      <c r="B18" s="0" t="str">
        <f aca="false">IF(COUNTA(שאלון!B24:F24)=0,"",1*(שאלון!B24&lt;&gt;"")+2*(שאלון!C24&lt;&gt;"")+3*(שאלון!D24&lt;&gt;"")+4*(שאלון!E24&lt;&gt;"")+5*(שאלון!F24&lt;&gt;""))</f>
        <v/>
      </c>
    </row>
    <row r="19" customFormat="false" ht="15" hidden="false" customHeight="false" outlineLevel="0" collapsed="false">
      <c r="A19" s="0" t="n">
        <v>26</v>
      </c>
      <c r="B19" s="0" t="str">
        <f aca="false">IF(COUNTA(שאלון!B26:F26)=0,"",1*(שאלון!B26&lt;&gt;"")+2*(שאלון!C26&lt;&gt;"")+3*(שאלון!D26&lt;&gt;"")+4*(שאלון!E26&lt;&gt;"")+5*(שאלון!F26&lt;&gt;""))</f>
        <v/>
      </c>
    </row>
    <row r="20" customFormat="false" ht="15" hidden="false" customHeight="false" outlineLevel="0" collapsed="false">
      <c r="A20" s="0" t="n">
        <v>27</v>
      </c>
      <c r="B20" s="0" t="str">
        <f aca="false">IF(COUNTA(שאלון!B27:F27)=0,"",1*(שאלון!B27&lt;&gt;"")+2*(שאלון!C27&lt;&gt;"")+3*(שאלון!D27&lt;&gt;"")+4*(שאלון!E27&lt;&gt;"")+5*(שאלון!F27&lt;&gt;""))</f>
        <v/>
      </c>
    </row>
    <row r="21" customFormat="false" ht="15" hidden="false" customHeight="false" outlineLevel="0" collapsed="false">
      <c r="A21" s="0" t="n">
        <v>29</v>
      </c>
      <c r="B21" s="0" t="str">
        <f aca="false">IF(COUNTA(שאלון!B29:F29)=0,"",1*(שאלון!B29&lt;&gt;"")+2*(שאלון!C29&lt;&gt;"")+3*(שאלון!D29&lt;&gt;"")+4*(שאלון!E29&lt;&gt;"")+5*(שאלון!F29&lt;&gt;""))</f>
        <v/>
      </c>
    </row>
    <row r="22" customFormat="false" ht="15" hidden="false" customHeight="false" outlineLevel="0" collapsed="false">
      <c r="A22" s="0" t="n">
        <v>30</v>
      </c>
      <c r="B22" s="0" t="str">
        <f aca="false">IF(COUNTA(שאלון!B30:F30)=0,"",1*(שאלון!B30&lt;&gt;"")+2*(שאלון!C30&lt;&gt;"")+3*(שאלון!D30&lt;&gt;"")+4*(שאלון!E30&lt;&gt;"")+5*(שאלון!F30&lt;&gt;""))</f>
        <v/>
      </c>
    </row>
    <row r="23" customFormat="false" ht="15" hidden="false" customHeight="false" outlineLevel="0" collapsed="false">
      <c r="A23" s="0" t="n">
        <v>31</v>
      </c>
      <c r="B23" s="0" t="str">
        <f aca="false">IF(COUNTA(שאלון!B31:F31)=0,"",1*(שאלון!B31&lt;&gt;"")+2*(שאלון!C31&lt;&gt;"")+3*(שאלון!D31&lt;&gt;"")+4*(שאלון!E31&lt;&gt;"")+5*(שאלון!F31&lt;&gt;""))</f>
        <v/>
      </c>
    </row>
    <row r="24" customFormat="false" ht="15" hidden="false" customHeight="false" outlineLevel="0" collapsed="false">
      <c r="A24" s="0" t="n">
        <v>32</v>
      </c>
      <c r="B24" s="0" t="str">
        <f aca="false">IF(COUNTA(שאלון!B32:F32)=0,"",1*(שאלון!B32&lt;&gt;"")+2*(שאלון!C32&lt;&gt;"")+3*(שאלון!D32&lt;&gt;"")+4*(שאלון!E32&lt;&gt;"")+5*(שאלון!F32&lt;&gt;""))</f>
        <v/>
      </c>
    </row>
    <row r="25" customFormat="false" ht="15" hidden="false" customHeight="false" outlineLevel="0" collapsed="false">
      <c r="A25" s="0" t="n">
        <v>34</v>
      </c>
      <c r="B25" s="0" t="str">
        <f aca="false">IF(COUNTA(שאלון!B34:F34)=0,"",1*(שאלון!B34&lt;&gt;"")+2*(שאלון!C34&lt;&gt;"")+3*(שאלון!D34&lt;&gt;"")+4*(שאלון!E34&lt;&gt;"")+5*(שאלון!F34&lt;&gt;""))</f>
        <v/>
      </c>
    </row>
    <row r="26" customFormat="false" ht="15" hidden="false" customHeight="false" outlineLevel="0" collapsed="false">
      <c r="A26" s="0" t="n">
        <v>35</v>
      </c>
      <c r="B26" s="0" t="str">
        <f aca="false">IF(COUNTA(שאלון!B35:F35)=0,"",1*(שאלון!B35&lt;&gt;"")+2*(שאלון!C35&lt;&gt;"")+3*(שאלון!D35&lt;&gt;"")+4*(שאלון!E35&lt;&gt;"")+5*(שאלון!F35&lt;&gt;""))</f>
        <v/>
      </c>
    </row>
    <row r="27" customFormat="false" ht="15" hidden="false" customHeight="false" outlineLevel="0" collapsed="false">
      <c r="A27" s="0" t="n">
        <v>36</v>
      </c>
      <c r="B27" s="0" t="str">
        <f aca="false">IF(COUNTA(שאלון!B36:F36)=0,"",1*(שאלון!B36&lt;&gt;"")+2*(שאלון!C36&lt;&gt;"")+3*(שאלון!D36&lt;&gt;"")+4*(שאלון!E36&lt;&gt;"")+5*(שאלון!F36&lt;&gt;""))</f>
        <v/>
      </c>
    </row>
    <row r="28" customFormat="false" ht="15" hidden="false" customHeight="false" outlineLevel="0" collapsed="false">
      <c r="A28" s="0" t="n">
        <v>38</v>
      </c>
      <c r="B28" s="0" t="str">
        <f aca="false">IF(COUNTA(שאלון!B38:F38)=0,"",1*(שאלון!B38&lt;&gt;"")+2*(שאלון!C38&lt;&gt;"")+3*(שאלון!D38&lt;&gt;"")+4*(שאלון!E38&lt;&gt;"")+5*(שאלון!F38&lt;&gt;""))</f>
        <v/>
      </c>
    </row>
    <row r="29" customFormat="false" ht="15" hidden="false" customHeight="false" outlineLevel="0" collapsed="false">
      <c r="A29" s="0" t="n">
        <v>39</v>
      </c>
      <c r="B29" s="0" t="str">
        <f aca="false">IF(COUNTA(שאלון!B39:F39)=0,"",1*(שאלון!B39&lt;&gt;"")+2*(שאלון!C39&lt;&gt;"")+3*(שאלון!D39&lt;&gt;"")+4*(שאלון!E39&lt;&gt;"")+5*(שאלון!F39&lt;&gt;""))</f>
        <v/>
      </c>
    </row>
    <row r="30" customFormat="false" ht="15" hidden="false" customHeight="false" outlineLevel="0" collapsed="false">
      <c r="A30" s="0" t="n">
        <v>41</v>
      </c>
      <c r="B30" s="0" t="str">
        <f aca="false">IF(COUNTA(שאלון!B41:F41)=0,"",1*(שאלון!B41&lt;&gt;"")+2*(שאלון!C41&lt;&gt;"")+3*(שאלון!D41&lt;&gt;"")+4*(שאלון!E41&lt;&gt;"")+5*(שאלון!F41&lt;&gt;""))</f>
        <v/>
      </c>
    </row>
    <row r="31" customFormat="false" ht="15" hidden="false" customHeight="false" outlineLevel="0" collapsed="false">
      <c r="A31" s="0" t="n">
        <v>42</v>
      </c>
      <c r="B31" s="0" t="str">
        <f aca="false">IF(COUNTA(שאלון!B42:F42)=0,"",1*(שאלון!B42&lt;&gt;"")+2*(שאלון!C42&lt;&gt;"")+3*(שאלון!D42&lt;&gt;"")+4*(שאלון!E42&lt;&gt;"")+5*(שאלון!F42&lt;&gt;""))</f>
        <v/>
      </c>
    </row>
    <row r="32" customFormat="false" ht="15" hidden="false" customHeight="false" outlineLevel="0" collapsed="false">
      <c r="A32" s="0" t="n">
        <v>44</v>
      </c>
      <c r="B32" s="0" t="str">
        <f aca="false">IF(COUNTA(שאלון!B44:F44)=0,"",1*(שאלון!B44&lt;&gt;"")+2*(שאלון!C44&lt;&gt;"")+3*(שאלון!D44&lt;&gt;"")+4*(שאלון!E44&lt;&gt;"")+5*(שאלון!F44&lt;&gt;""))</f>
        <v/>
      </c>
    </row>
    <row r="33" customFormat="false" ht="15" hidden="false" customHeight="false" outlineLevel="0" collapsed="false">
      <c r="A33" s="0" t="n">
        <v>46</v>
      </c>
      <c r="B33" s="0" t="str">
        <f aca="false">IF(COUNTA(שאלון!B46:F46)=0,"",1*(שאלון!B46&lt;&gt;"")+2*(שאלון!C46&lt;&gt;"")+3*(שאלון!D46&lt;&gt;"")+4*(שאלון!E46&lt;&gt;"")+5*(שאלון!F46&lt;&gt;""))</f>
        <v/>
      </c>
    </row>
    <row r="34" customFormat="false" ht="15" hidden="false" customHeight="false" outlineLevel="0" collapsed="false">
      <c r="A34" s="0" t="n">
        <v>47</v>
      </c>
      <c r="B34" s="0" t="str">
        <f aca="false">IF(COUNTA(שאלון!B47:F47)=0,"",1*(שאלון!B47&lt;&gt;"")+2*(שאלון!C47&lt;&gt;"")+3*(שאלון!D47&lt;&gt;"")+4*(שאלון!E47&lt;&gt;"")+5*(שאלון!F47&lt;&gt;""))</f>
        <v/>
      </c>
    </row>
    <row r="35" customFormat="false" ht="15" hidden="false" customHeight="false" outlineLevel="0" collapsed="false">
      <c r="A35" s="0" t="n">
        <v>49</v>
      </c>
      <c r="B35" s="0" t="str">
        <f aca="false">IF(COUNTA(שאלון!B49:F49)=0,"",1*(שאלון!B49&lt;&gt;"")+2*(שאלון!C49&lt;&gt;"")+3*(שאלון!D49&lt;&gt;"")+4*(שאלון!E49&lt;&gt;"")+5*(שאלון!F49&lt;&gt;""))</f>
        <v/>
      </c>
    </row>
    <row r="36" customFormat="false" ht="15" hidden="false" customHeight="false" outlineLevel="0" collapsed="false">
      <c r="A36" s="0" t="n">
        <v>50</v>
      </c>
      <c r="B36" s="0" t="str">
        <f aca="false">IF(COUNTA(שאלון!B50:F50)=0,"",1*(שאלון!B50&lt;&gt;"")+2*(שאלון!C50&lt;&gt;"")+3*(שאלון!D50&lt;&gt;"")+4*(שאלון!E50&lt;&gt;"")+5*(שאלון!F50&lt;&gt;""))</f>
        <v/>
      </c>
    </row>
    <row r="37" customFormat="false" ht="15" hidden="false" customHeight="false" outlineLevel="0" collapsed="false">
      <c r="A37" s="0" t="n">
        <v>51</v>
      </c>
      <c r="B37" s="0" t="str">
        <f aca="false">IF(COUNTA(שאלון!B51:F51)=0,"",1*(שאלון!B51&lt;&gt;"")+2*(שאלון!C51&lt;&gt;"")+3*(שאלון!D51&lt;&gt;"")+4*(שאלון!E51&lt;&gt;"")+5*(שאלון!F51&lt;&gt;""))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22"/>
  </cols>
  <sheetData>
    <row r="1" customFormat="false" ht="24" hidden="false" customHeight="true" outlineLevel="0" collapsed="false">
      <c r="A1" s="7" t="s">
        <v>102</v>
      </c>
      <c r="B1" s="7"/>
      <c r="C1" s="7"/>
    </row>
    <row r="2" customFormat="false" ht="15" hidden="false" customHeight="false" outlineLevel="0" collapsed="false">
      <c r="A2" s="19" t="s">
        <v>103</v>
      </c>
      <c r="B2" s="20" t="s">
        <v>104</v>
      </c>
      <c r="C2" s="20" t="s">
        <v>105</v>
      </c>
    </row>
    <row r="3" customFormat="false" ht="18" hidden="false" customHeight="true" outlineLevel="0" collapsed="false">
      <c r="A3" s="14" t="s">
        <v>16</v>
      </c>
      <c r="B3" s="21" t="str">
        <f aca="false">IF(COUNT(חישוב!B2:B5)=0,"",ROUND(AVERAGE(חישוב!B2:B5),2))</f>
        <v/>
      </c>
      <c r="C3" s="22" t="str">
        <f aca="false">IF(B3="","-",IF(B3&lt;=2,"עני דומיננטי",IF(B3&lt;=3,"נטייה לעני",IF(B3&lt;=4,"נטייה לעשיר","עשיר דומיננטי"))))</f>
        <v>-</v>
      </c>
    </row>
    <row r="4" customFormat="false" ht="18" hidden="false" customHeight="true" outlineLevel="0" collapsed="false">
      <c r="A4" s="14" t="s">
        <v>25</v>
      </c>
      <c r="B4" s="21" t="str">
        <f aca="false">IF(COUNT(חישוב!B6:B9)=0,"",ROUND(AVERAGE(חישוב!B6:B9),2))</f>
        <v/>
      </c>
      <c r="C4" s="22" t="str">
        <f aca="false">IF(B4="","-",IF(B4&lt;=2,"עני דומיננטי",IF(B4&lt;=3,"נטייה לעני",IF(B4&lt;=4,"נטייה לעשיר","עשיר דומיננטי"))))</f>
        <v>-</v>
      </c>
    </row>
    <row r="5" customFormat="false" ht="18" hidden="false" customHeight="true" outlineLevel="0" collapsed="false">
      <c r="A5" s="14" t="s">
        <v>34</v>
      </c>
      <c r="B5" s="21" t="str">
        <f aca="false">IF(COUNT(חישוב!B10:B12)=0,"",ROUND(AVERAGE(חישוב!B10:B12),2))</f>
        <v/>
      </c>
      <c r="C5" s="22" t="str">
        <f aca="false">IF(B5="","-",IF(B5&lt;=2,"עני דומיננטי",IF(B5&lt;=3,"נטייה לעני",IF(B5&lt;=4,"נטייה לעשיר","עשיר דומיננטי"))))</f>
        <v>-</v>
      </c>
    </row>
    <row r="6" customFormat="false" ht="18" hidden="false" customHeight="true" outlineLevel="0" collapsed="false">
      <c r="A6" s="14" t="s">
        <v>41</v>
      </c>
      <c r="B6" s="21" t="str">
        <f aca="false">IF(COUNT(חישוב!B13:B18)=0,"",ROUND(AVERAGE(חישוב!B13:B18),2))</f>
        <v/>
      </c>
      <c r="C6" s="22" t="str">
        <f aca="false">IF(B6="","-",IF(B6&lt;=2,"עני דומיננטי",IF(B6&lt;=3,"נטייה לעני",IF(B6&lt;=4,"נטייה לעשיר","עשיר דומיננטי"))))</f>
        <v>-</v>
      </c>
    </row>
    <row r="7" customFormat="false" ht="18" hidden="false" customHeight="true" outlineLevel="0" collapsed="false">
      <c r="A7" s="14" t="s">
        <v>54</v>
      </c>
      <c r="B7" s="21" t="str">
        <f aca="false">IF(COUNT(חישוב!B19:B20)=0,"",ROUND(AVERAGE(חישוב!B19:B20),2))</f>
        <v/>
      </c>
      <c r="C7" s="22" t="str">
        <f aca="false">IF(B7="","-",IF(B7&lt;=2,"עני דומיננטי",IF(B7&lt;=3,"נטייה לעני",IF(B7&lt;=4,"נטייה לעשיר","עשיר דומיננטי"))))</f>
        <v>-</v>
      </c>
    </row>
    <row r="8" customFormat="false" ht="18" hidden="false" customHeight="true" outlineLevel="0" collapsed="false">
      <c r="A8" s="14" t="s">
        <v>59</v>
      </c>
      <c r="B8" s="21" t="str">
        <f aca="false">IF(COUNT(חישוב!B21:B24)=0,"",ROUND(AVERAGE(חישוב!B21:B24),2))</f>
        <v/>
      </c>
      <c r="C8" s="22" t="str">
        <f aca="false">IF(B8="","-",IF(B8&lt;=2,"עני דומיננטי",IF(B8&lt;=3,"נטייה לעני",IF(B8&lt;=4,"נטייה לעשיר","עשיר דומיננטי"))))</f>
        <v>-</v>
      </c>
    </row>
    <row r="9" customFormat="false" ht="18" hidden="false" customHeight="true" outlineLevel="0" collapsed="false">
      <c r="A9" s="14" t="s">
        <v>68</v>
      </c>
      <c r="B9" s="21" t="str">
        <f aca="false">IF(COUNT(חישוב!B25:B27)=0,"",ROUND(AVERAGE(חישוב!B25:B27),2))</f>
        <v/>
      </c>
      <c r="C9" s="22" t="str">
        <f aca="false">IF(B9="","-",IF(B9&lt;=2,"עני דומיננטי",IF(B9&lt;=3,"נטייה לעני",IF(B9&lt;=4,"נטייה לעשיר","עשיר דומיננטי"))))</f>
        <v>-</v>
      </c>
    </row>
    <row r="10" customFormat="false" ht="18" hidden="false" customHeight="true" outlineLevel="0" collapsed="false">
      <c r="A10" s="14" t="s">
        <v>75</v>
      </c>
      <c r="B10" s="21" t="str">
        <f aca="false">IF(COUNT(חישוב!B28:B29)=0,"",ROUND(AVERAGE(חישוב!B28:B29),2))</f>
        <v/>
      </c>
      <c r="C10" s="22" t="str">
        <f aca="false">IF(B10="","-",IF(B10&lt;=2,"עני דומיננטי",IF(B10&lt;=3,"נטייה לעני",IF(B10&lt;=4,"נטייה לעשיר","עשיר דומיננטי"))))</f>
        <v>-</v>
      </c>
    </row>
    <row r="11" customFormat="false" ht="18" hidden="false" customHeight="true" outlineLevel="0" collapsed="false">
      <c r="A11" s="14" t="s">
        <v>80</v>
      </c>
      <c r="B11" s="21" t="str">
        <f aca="false">IF(COUNT(חישוב!B30:B31)=0,"",ROUND(AVERAGE(חישוב!B30:B31),2))</f>
        <v/>
      </c>
      <c r="C11" s="22" t="str">
        <f aca="false">IF(B11="","-",IF(B11&lt;=2,"עני דומיננטי",IF(B11&lt;=3,"נטייה לעני",IF(B11&lt;=4,"נטייה לעשיר","עשיר דומיננטי"))))</f>
        <v>-</v>
      </c>
    </row>
    <row r="12" customFormat="false" ht="18" hidden="false" customHeight="true" outlineLevel="0" collapsed="false">
      <c r="A12" s="14" t="s">
        <v>85</v>
      </c>
      <c r="B12" s="21" t="str">
        <f aca="false">IF(COUNT(חישוב!B32)=0,"",ROUND(AVERAGE(חישוב!B32),2))</f>
        <v/>
      </c>
      <c r="C12" s="22" t="str">
        <f aca="false">IF(B12="","-",IF(B12&lt;=2,"עני דומיננטי",IF(B12&lt;=3,"נטייה לעני",IF(B12&lt;=4,"נטייה לעשיר","עשיר דומיננטי"))))</f>
        <v>-</v>
      </c>
    </row>
    <row r="13" customFormat="false" ht="18" hidden="false" customHeight="true" outlineLevel="0" collapsed="false">
      <c r="A13" s="14" t="s">
        <v>88</v>
      </c>
      <c r="B13" s="21" t="str">
        <f aca="false">IF(COUNT(חישוב!B33:B34)=0,"",ROUND(AVERAGE(חישוב!B33:B34),2))</f>
        <v/>
      </c>
      <c r="C13" s="22" t="str">
        <f aca="false">IF(B13="","-",IF(B13&lt;=2,"עני דומיננטי",IF(B13&lt;=3,"נטייה לעני",IF(B13&lt;=4,"נטייה לעשיר","עשיר דומיננטי"))))</f>
        <v>-</v>
      </c>
    </row>
    <row r="14" customFormat="false" ht="18" hidden="false" customHeight="true" outlineLevel="0" collapsed="false">
      <c r="A14" s="14" t="s">
        <v>93</v>
      </c>
      <c r="B14" s="21" t="str">
        <f aca="false">IF(COUNT(חישוב!B35:B37)=0,"",ROUND(AVERAGE(חישוב!B35:B37),2))</f>
        <v/>
      </c>
      <c r="C14" s="22" t="str">
        <f aca="false">IF(B14="","-",IF(B14&lt;=2,"עני דומיננטי",IF(B14&lt;=3,"נטייה לעני",IF(B14&lt;=4,"נטייה לעשיר","עשיר דומיננטי"))))</f>
        <v>-</v>
      </c>
    </row>
    <row r="15" customFormat="false" ht="24" hidden="false" customHeight="true" outlineLevel="0" collapsed="false">
      <c r="A15" s="23" t="s">
        <v>106</v>
      </c>
      <c r="B15" s="24" t="str">
        <f aca="false">IF(COUNT(חישוב!B2:B37)=0,"",ROUND(AVERAGE(חישוב!B2:B37),2))</f>
        <v/>
      </c>
      <c r="C15" s="25" t="str">
        <f aca="false">IF(B15="","-",IF(B15&lt;=2,"עני דומיננטי",IF(B15&lt;=3,"נטייה לעני",IF(B15&lt;=4,"נטייה לעשיר","עשיר דומיננטי"))))</f>
        <v>-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2026-06-22T15:29:01Z</dcterms:created>
  <dc:creator>openpyxl</dc:creator>
  <dc:description/>
  <dc:language>en-US</dc:language>
  <cp:lastModifiedBy/>
  <dcterms:modified xsi:type="dcterms:W3CDTF">2026-06-22T15:29:01Z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